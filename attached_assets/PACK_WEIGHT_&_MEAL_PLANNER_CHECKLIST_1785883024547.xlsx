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CK WEIGHT CHECKLIST" sheetId="1" r:id="rId5"/>
    <sheet name="Meal Planner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<sst xmlns="http://schemas.openxmlformats.org/spreadsheetml/2006/main" uniqueCount="211">
  <si>
    <t>Type</t>
  </si>
  <si>
    <t>X</t>
  </si>
  <si>
    <t>Backpack</t>
  </si>
  <si>
    <t>Description</t>
  </si>
  <si>
    <t>Weight</t>
  </si>
  <si>
    <t>Add</t>
  </si>
  <si>
    <t>Unit</t>
  </si>
  <si>
    <t>Qty</t>
  </si>
  <si>
    <r>
      <rPr>
        <u val="single"/>
        <sz val="10"/>
        <color indexed="17"/>
        <rFont val="Arial"/>
      </rPr>
      <t>ULA Ultra Circuit</t>
    </r>
  </si>
  <si>
    <t>oz</t>
  </si>
  <si>
    <r>
      <rPr>
        <u val="single"/>
        <sz val="11"/>
        <color indexed="17"/>
        <rFont val="Carlito"/>
      </rPr>
      <t>Zpacks Nero Classic Backpack</t>
    </r>
  </si>
  <si>
    <r>
      <rPr>
        <u val="single"/>
        <sz val="10"/>
        <color indexed="17"/>
        <rFont val="Arial"/>
      </rPr>
      <t>Durston Wapta 30</t>
    </r>
  </si>
  <si>
    <t>Pack Liner</t>
  </si>
  <si>
    <r>
      <rPr>
        <u val="single"/>
        <sz val="10"/>
        <color indexed="17"/>
        <rFont val="Arial"/>
      </rPr>
      <t>18G Compactor Bag</t>
    </r>
  </si>
  <si>
    <t>Total</t>
  </si>
  <si>
    <t>lb</t>
  </si>
  <si>
    <t>Shelter</t>
  </si>
  <si>
    <t xml:space="preserve">Description </t>
  </si>
  <si>
    <t>Tent</t>
  </si>
  <si>
    <r>
      <rPr>
        <u val="single"/>
        <sz val="10"/>
        <color indexed="17"/>
        <rFont val="Arial"/>
      </rPr>
      <t>Zpacks Free-Zip 2 with poles / repair kit</t>
    </r>
  </si>
  <si>
    <t>Ground Sheet</t>
  </si>
  <si>
    <r>
      <rPr>
        <u val="single"/>
        <sz val="10"/>
        <color indexed="17"/>
        <rFont val="Arial"/>
      </rPr>
      <t>Zpacks Nylo Pro Groundsheet 5' x 8’</t>
    </r>
  </si>
  <si>
    <t>Tent Stake</t>
  </si>
  <si>
    <r>
      <rPr>
        <u val="single"/>
        <sz val="10"/>
        <color indexed="17"/>
        <rFont val="Arial"/>
      </rPr>
      <t>Easton Nano</t>
    </r>
  </si>
  <si>
    <t>DIY Carbon Fiber 3mm Tent Stakes</t>
  </si>
  <si>
    <t>Stake bag</t>
  </si>
  <si>
    <r>
      <rPr>
        <u val="single"/>
        <sz val="10"/>
        <color indexed="17"/>
        <rFont val="Arial"/>
      </rPr>
      <t>Hilltop Tent Stake Bag</t>
    </r>
  </si>
  <si>
    <t>Tent Pole</t>
  </si>
  <si>
    <t>Zpacks carbon tent poles with repair kit</t>
  </si>
  <si>
    <t>Tarp</t>
  </si>
  <si>
    <r>
      <rPr>
        <u val="single"/>
        <sz val="10"/>
        <color indexed="17"/>
        <rFont val="Arial"/>
      </rPr>
      <t>Zpacks 8.5' x 10' Flat Tarp</t>
    </r>
  </si>
  <si>
    <t xml:space="preserve">Tarp </t>
  </si>
  <si>
    <r>
      <rPr>
        <u val="single"/>
        <sz val="10"/>
        <color indexed="17"/>
        <rFont val="Arial"/>
      </rPr>
      <t>Gear Swifts DCF Ponch/Tarp</t>
    </r>
  </si>
  <si>
    <r>
      <rPr>
        <u val="single"/>
        <sz val="10"/>
        <color indexed="17"/>
        <rFont val="Arial"/>
      </rPr>
      <t>Six Moons Ponch/Tarp</t>
    </r>
  </si>
  <si>
    <r>
      <rPr>
        <u val="single"/>
        <sz val="10"/>
        <color indexed="17"/>
        <rFont val="Arial"/>
      </rPr>
      <t>Ounce Design Adobi DCF Tarp</t>
    </r>
  </si>
  <si>
    <t>Sleep</t>
  </si>
  <si>
    <t>Sleeping Bag</t>
  </si>
  <si>
    <r>
      <rPr>
        <u val="single"/>
        <sz val="10"/>
        <color indexed="17"/>
        <rFont val="Arial"/>
      </rPr>
      <t>UGQ Bandit 10F</t>
    </r>
  </si>
  <si>
    <r>
      <rPr>
        <u val="single"/>
        <sz val="10"/>
        <color indexed="17"/>
        <rFont val="Arial"/>
      </rPr>
      <t>Enlightened Equipment 30F</t>
    </r>
  </si>
  <si>
    <r>
      <rPr>
        <u val="single"/>
        <sz val="10"/>
        <color indexed="17"/>
        <rFont val="Arial"/>
      </rPr>
      <t>Emergency Sleeping Bag Thermal Bivvy</t>
    </r>
  </si>
  <si>
    <t>Inflatable Pad</t>
  </si>
  <si>
    <r>
      <rPr>
        <u val="single"/>
        <sz val="10"/>
        <color indexed="17"/>
        <rFont val="Arial"/>
      </rPr>
      <t>Paria Elevate S insulated sleeping pad</t>
    </r>
  </si>
  <si>
    <t>Foam Pad</t>
  </si>
  <si>
    <r>
      <rPr>
        <u val="single"/>
        <sz val="10"/>
        <color indexed="17"/>
        <rFont val="Arial"/>
      </rPr>
      <t>Nemo Switchback Short</t>
    </r>
  </si>
  <si>
    <t>Category</t>
  </si>
  <si>
    <t>Nemo Switchback cut to 1/2</t>
  </si>
  <si>
    <t>Clothing Packed</t>
  </si>
  <si>
    <t xml:space="preserve">Puffy Jacket </t>
  </si>
  <si>
    <r>
      <rPr>
        <u val="single"/>
        <sz val="10"/>
        <color indexed="17"/>
        <rFont val="Arial"/>
      </rPr>
      <t>Enlightened Torid Jacket</t>
    </r>
  </si>
  <si>
    <r>
      <rPr>
        <u val="single"/>
        <sz val="10"/>
        <color indexed="17"/>
        <rFont val="Arial"/>
      </rPr>
      <t>Timmermade SDUL .75 Down Sweater</t>
    </r>
  </si>
  <si>
    <t>Kitchen</t>
  </si>
  <si>
    <t>Puffy Pants</t>
  </si>
  <si>
    <r>
      <rPr>
        <u val="single"/>
        <sz val="11"/>
        <color indexed="17"/>
        <rFont val="Carlito"/>
      </rPr>
      <t>Timmermade SUL Down Pants</t>
    </r>
  </si>
  <si>
    <t>Electronics</t>
  </si>
  <si>
    <t>Midlayer</t>
  </si>
  <si>
    <r>
      <rPr>
        <u val="single"/>
        <sz val="10"/>
        <color indexed="17"/>
        <rFont val="Arial"/>
      </rPr>
      <t>Zpacks Octa Fleece Hoody</t>
    </r>
  </si>
  <si>
    <t>Toiletries + Med</t>
  </si>
  <si>
    <t>Windbreaker</t>
  </si>
  <si>
    <r>
      <rPr>
        <u val="single"/>
        <sz val="10"/>
        <color indexed="17"/>
        <rFont val="Arial"/>
      </rPr>
      <t>Outdoor Vitals Nebo Windbreaker</t>
    </r>
  </si>
  <si>
    <t>Hydration</t>
  </si>
  <si>
    <t>Wind Pants</t>
  </si>
  <si>
    <r>
      <rPr>
        <u val="single"/>
        <sz val="10"/>
        <color indexed="17"/>
        <rFont val="Arial"/>
      </rPr>
      <t>Montbell Tachyon Pants</t>
    </r>
  </si>
  <si>
    <t>Clothing Worn</t>
  </si>
  <si>
    <t>Sleep Socks</t>
  </si>
  <si>
    <r>
      <rPr>
        <u val="single"/>
        <sz val="10"/>
        <color indexed="17"/>
        <rFont val="Arial"/>
      </rPr>
      <t>Zpacks Brushtail Possum Socks</t>
    </r>
  </si>
  <si>
    <t>Miscellaneous</t>
  </si>
  <si>
    <t>Thermal Pants</t>
  </si>
  <si>
    <r>
      <rPr>
        <u val="single"/>
        <sz val="10"/>
        <color indexed="17"/>
        <rFont val="Arial"/>
      </rPr>
      <t>Zpacks Octa Fleece Camp Pants</t>
    </r>
  </si>
  <si>
    <t>Worn</t>
  </si>
  <si>
    <t>Neck Warmer</t>
  </si>
  <si>
    <r>
      <rPr>
        <u val="single"/>
        <sz val="10"/>
        <color indexed="17"/>
        <rFont val="Arial"/>
      </rPr>
      <t>Zpacks Octa Fleece Gaiter</t>
    </r>
  </si>
  <si>
    <t>Base Weight</t>
  </si>
  <si>
    <t>Rain Jacket</t>
  </si>
  <si>
    <r>
      <rPr>
        <u val="single"/>
        <sz val="10"/>
        <color indexed="17"/>
        <rFont val="Arial"/>
      </rPr>
      <t>Enlightened Equipment Visp rain coat</t>
    </r>
  </si>
  <si>
    <t>Expendables</t>
  </si>
  <si>
    <t>Lb</t>
  </si>
  <si>
    <t>Rain Pants</t>
  </si>
  <si>
    <r>
      <rPr>
        <u val="single"/>
        <sz val="10"/>
        <color indexed="17"/>
        <rFont val="Arial"/>
      </rPr>
      <t>Zpacks Men's Vertice Rain Pants</t>
    </r>
  </si>
  <si>
    <t>Bug Net</t>
  </si>
  <si>
    <t>Mosquito Head Net</t>
  </si>
  <si>
    <t>Down Hood</t>
  </si>
  <si>
    <r>
      <rPr>
        <u val="single"/>
        <sz val="10"/>
        <color indexed="17"/>
        <rFont val="Arial"/>
      </rPr>
      <t>Goosefeet Balaclava</t>
    </r>
  </si>
  <si>
    <t>Down Socks</t>
  </si>
  <si>
    <r>
      <rPr>
        <u val="single"/>
        <sz val="10"/>
        <color indexed="17"/>
        <rFont val="Arial"/>
      </rPr>
      <t>Goosefeet Down Socks</t>
    </r>
  </si>
  <si>
    <t xml:space="preserve">First Aid Kit </t>
  </si>
  <si>
    <t>Poncho</t>
  </si>
  <si>
    <r>
      <rPr>
        <u val="single"/>
        <sz val="10"/>
        <color indexed="17"/>
        <rFont val="Arial"/>
      </rPr>
      <t>Emergency Survival Foil Poncho</t>
    </r>
  </si>
  <si>
    <t>Pot/Mug</t>
  </si>
  <si>
    <r>
      <rPr>
        <u val="single"/>
        <sz val="10"/>
        <color indexed="17"/>
        <rFont val="Arial"/>
      </rPr>
      <t>Fire-Maple Petrel G3 600ml HX Pot</t>
    </r>
  </si>
  <si>
    <t>Spoon</t>
  </si>
  <si>
    <r>
      <rPr>
        <u val="single"/>
        <sz val="10"/>
        <color indexed="17"/>
        <rFont val="Arial"/>
      </rPr>
      <t>TOAKS Titanium Long Handle Spoon</t>
    </r>
  </si>
  <si>
    <t>Stove</t>
  </si>
  <si>
    <r>
      <rPr>
        <u val="single"/>
        <sz val="10"/>
        <color indexed="17"/>
        <rFont val="Arial"/>
      </rPr>
      <t>MSR PocketRocket Deluxe</t>
    </r>
  </si>
  <si>
    <t>Fuel</t>
  </si>
  <si>
    <t>4 oz</t>
  </si>
  <si>
    <t>Cold Soak Container</t>
  </si>
  <si>
    <t>Peanut Butter Jar with plastic spoon</t>
  </si>
  <si>
    <t>1 Gal Freezer Bag</t>
  </si>
  <si>
    <t>Amazon</t>
  </si>
  <si>
    <t>1 Qrt Freezer Bag</t>
  </si>
  <si>
    <t>Bear Bag</t>
  </si>
  <si>
    <r>
      <rPr>
        <u val="single"/>
        <sz val="10"/>
        <color indexed="17"/>
        <rFont val="Arial"/>
      </rPr>
      <t>Adotec Grzzly 20L</t>
    </r>
  </si>
  <si>
    <t>Food Bag</t>
  </si>
  <si>
    <t>Plastic grocery bag</t>
  </si>
  <si>
    <t>Bear Canister</t>
  </si>
  <si>
    <r>
      <rPr>
        <u val="single"/>
        <sz val="10"/>
        <color indexed="17"/>
        <rFont val="Arial"/>
      </rPr>
      <t>Weekender Bearikade 20L</t>
    </r>
  </si>
  <si>
    <t>Power Bank</t>
  </si>
  <si>
    <r>
      <rPr>
        <u val="single"/>
        <sz val="10"/>
        <color indexed="17"/>
        <rFont val="Arial"/>
      </rPr>
      <t>INIU 10k power bankched USB-C</t>
    </r>
  </si>
  <si>
    <r>
      <rPr>
        <u val="single"/>
        <sz val="10"/>
        <color indexed="17"/>
        <rFont val="Arial"/>
      </rPr>
      <t>UGREEN 25k Power Bank</t>
    </r>
  </si>
  <si>
    <t>Repair Kit</t>
  </si>
  <si>
    <t>Camera</t>
  </si>
  <si>
    <r>
      <rPr>
        <u val="single"/>
        <sz val="10"/>
        <color indexed="17"/>
        <rFont val="Arial"/>
      </rPr>
      <t>Fuji XT4 with 16-18mm</t>
    </r>
  </si>
  <si>
    <t>Cables</t>
  </si>
  <si>
    <t>USB-C</t>
  </si>
  <si>
    <t>Headlamp</t>
  </si>
  <si>
    <r>
      <rPr>
        <u val="single"/>
        <sz val="10"/>
        <color indexed="17"/>
        <rFont val="Arial"/>
      </rPr>
      <t>Nitecore NU25</t>
    </r>
  </si>
  <si>
    <t>Wall Charger</t>
  </si>
  <si>
    <r>
      <rPr>
        <u val="single"/>
        <sz val="10"/>
        <color indexed="17"/>
        <rFont val="Arial"/>
      </rPr>
      <t>ChubbyCable MagCore 65W</t>
    </r>
  </si>
  <si>
    <t>Phone</t>
  </si>
  <si>
    <t>iPhone 16 Pro with case</t>
  </si>
  <si>
    <t>Headphones</t>
  </si>
  <si>
    <t>Carry Bag</t>
  </si>
  <si>
    <r>
      <rPr>
        <u val="single"/>
        <sz val="10"/>
        <color indexed="17"/>
        <rFont val="Arial"/>
      </rPr>
      <t>Hilltop Ultralight Ditty Bag</t>
    </r>
  </si>
  <si>
    <t>Handheld Radio</t>
  </si>
  <si>
    <r>
      <rPr>
        <u val="single"/>
        <sz val="10"/>
        <color indexed="17"/>
        <rFont val="Arial"/>
      </rPr>
      <t>Rokie Talky Mountain Radio</t>
    </r>
  </si>
  <si>
    <t>Air Pump</t>
  </si>
  <si>
    <r>
      <rPr>
        <u val="single"/>
        <sz val="10"/>
        <color indexed="17"/>
        <rFont val="Arial"/>
      </rPr>
      <t>GIGA Pump</t>
    </r>
  </si>
  <si>
    <t>Thermometer</t>
  </si>
  <si>
    <r>
      <rPr>
        <u val="single"/>
        <sz val="10"/>
        <color indexed="17"/>
        <rFont val="Arial"/>
      </rPr>
      <t>Govee Bluetooth Thermometer</t>
    </r>
  </si>
  <si>
    <t>Toothbrush</t>
  </si>
  <si>
    <t>Toothpaste</t>
  </si>
  <si>
    <t>Floss</t>
  </si>
  <si>
    <t>Chapstick</t>
  </si>
  <si>
    <t>Sunscreen</t>
  </si>
  <si>
    <t>Med Kit</t>
  </si>
  <si>
    <t>Water Bottle</t>
  </si>
  <si>
    <r>
      <rPr>
        <u val="single"/>
        <sz val="10"/>
        <color indexed="17"/>
        <rFont val="Arial"/>
      </rPr>
      <t>CNOC water bottle 1L</t>
    </r>
  </si>
  <si>
    <t xml:space="preserve">Smart Water Bottle 1L Empty </t>
  </si>
  <si>
    <t>Water Bladder</t>
  </si>
  <si>
    <r>
      <rPr>
        <u val="single"/>
        <sz val="10"/>
        <color indexed="17"/>
        <rFont val="Arial"/>
      </rPr>
      <t>CNOC Vecto 2L</t>
    </r>
  </si>
  <si>
    <t>Filter</t>
  </si>
  <si>
    <r>
      <rPr>
        <u val="single"/>
        <sz val="10"/>
        <color indexed="17"/>
        <rFont val="Arial"/>
      </rPr>
      <t>Platypus Quickdraw</t>
    </r>
  </si>
  <si>
    <t>Water Purifier</t>
  </si>
  <si>
    <t>Bleach Dropper</t>
  </si>
  <si>
    <t>Shirt</t>
  </si>
  <si>
    <r>
      <rPr>
        <u val="single"/>
        <sz val="10"/>
        <color indexed="17"/>
        <rFont val="Arial"/>
      </rPr>
      <t>Zpacks Mirage Merino Sun Hoody</t>
    </r>
  </si>
  <si>
    <t>Shorts</t>
  </si>
  <si>
    <r>
      <rPr>
        <u val="single"/>
        <sz val="10"/>
        <color indexed="17"/>
        <rFont val="Arial"/>
      </rPr>
      <t>Pudolla Men’s Running Shorts</t>
    </r>
  </si>
  <si>
    <t>Hat</t>
  </si>
  <si>
    <t>Baseball Hat</t>
  </si>
  <si>
    <t>Socks</t>
  </si>
  <si>
    <r>
      <rPr>
        <u val="single"/>
        <sz val="10"/>
        <color indexed="17"/>
        <rFont val="Arial"/>
      </rPr>
      <t>Creepers toe socks</t>
    </r>
  </si>
  <si>
    <t>Shoes</t>
  </si>
  <si>
    <r>
      <rPr>
        <u val="single"/>
        <sz val="10"/>
        <color indexed="17"/>
        <rFont val="Arial"/>
      </rPr>
      <t>Topo Mtn 4 size 12</t>
    </r>
  </si>
  <si>
    <t>Sandals</t>
  </si>
  <si>
    <r>
      <rPr>
        <u val="single"/>
        <sz val="10"/>
        <color indexed="17"/>
        <rFont val="Arial"/>
      </rPr>
      <t>Bedrock Cairn Evo 3D PRO</t>
    </r>
  </si>
  <si>
    <t>Treking Pole</t>
  </si>
  <si>
    <t>Get Out Gear</t>
  </si>
  <si>
    <r>
      <rPr>
        <u val="single"/>
        <sz val="10"/>
        <color indexed="17"/>
        <rFont val="Arial"/>
      </rPr>
      <t>OKHEALING Carbon Hiking Poles</t>
    </r>
  </si>
  <si>
    <t>Meal Planner</t>
  </si>
  <si>
    <t>Meal With Ingredient List</t>
  </si>
  <si>
    <t>Dry</t>
  </si>
  <si>
    <t>Calories</t>
  </si>
  <si>
    <t>Protein (g)</t>
  </si>
  <si>
    <t>Fat (g)</t>
  </si>
  <si>
    <t>Carbs (g)</t>
  </si>
  <si>
    <t>Pack Days</t>
  </si>
  <si>
    <t>Weight (g)</t>
  </si>
  <si>
    <t>BREAKFAST — Maple-Açaí Cold-Soak Breakfast</t>
  </si>
  <si>
    <t xml:space="preserve">  Quick oats</t>
  </si>
  <si>
    <t xml:space="preserve">  NIDO whole-milk powder</t>
  </si>
  <si>
    <t xml:space="preserve">  Whey isolate</t>
  </si>
  <si>
    <t xml:space="preserve">  Coconut-milk powder</t>
  </si>
  <si>
    <t xml:space="preserve">  Pecans, finely crushed</t>
  </si>
  <si>
    <t xml:space="preserve">  Açaí powder</t>
  </si>
  <si>
    <t xml:space="preserve">  Powdered maple syrup</t>
  </si>
  <si>
    <t xml:space="preserve">  Chia seeds</t>
  </si>
  <si>
    <t>HIKING FUEL</t>
  </si>
  <si>
    <t xml:space="preserve">  Greenbelly Mango Cashew Coconut</t>
  </si>
  <si>
    <t xml:space="preserve">  Macadamia nuts</t>
  </si>
  <si>
    <t xml:space="preserve">  Dried mango slices</t>
  </si>
  <si>
    <t xml:space="preserve">  Beef jerky</t>
  </si>
  <si>
    <t>PROTEIN SHAKE</t>
  </si>
  <si>
    <t>MFL 100% Isolate Protein</t>
  </si>
  <si>
    <t>DINNER — Thai Peanut Couscous</t>
  </si>
  <si>
    <t xml:space="preserve">  Instant couscous</t>
  </si>
  <si>
    <t xml:space="preserve">  Fine TVP granules</t>
  </si>
  <si>
    <t xml:space="preserve">  Powdered peanut butter</t>
  </si>
  <si>
    <t xml:space="preserve">  Crushed peanuts</t>
  </si>
  <si>
    <t xml:space="preserve">  Olive oil</t>
  </si>
  <si>
    <t xml:space="preserve">  Soy-sauce powder</t>
  </si>
  <si>
    <t xml:space="preserve">  Dehydrated vegetables</t>
  </si>
  <si>
    <t>DINNER — Mediterranean Olive-Herb Couscous</t>
  </si>
  <si>
    <t xml:space="preserve">  Hummus powder</t>
  </si>
  <si>
    <t xml:space="preserve">  Pine nuts</t>
  </si>
  <si>
    <t xml:space="preserve">  Nutritional yeast</t>
  </si>
  <si>
    <t xml:space="preserve">  Sun-dried tomato / vegetables</t>
  </si>
  <si>
    <t xml:space="preserve">  Mediterranean herbs</t>
  </si>
  <si>
    <t>DINNER — Mexican Chili-Lime Bean Couscous</t>
  </si>
  <si>
    <t xml:space="preserve">  Dehydrated refried-bean flakes</t>
  </si>
  <si>
    <t xml:space="preserve">  Corn chips</t>
  </si>
  <si>
    <t xml:space="preserve">  Avocado powder</t>
  </si>
  <si>
    <t xml:space="preserve">  Cheddar-cheese powder</t>
  </si>
  <si>
    <t xml:space="preserve">  Tomato, onion and chili blend</t>
  </si>
  <si>
    <t xml:space="preserve">  Lime powder and salt</t>
  </si>
  <si>
    <t>DINNER — Mango-Coconut Curry Couscous</t>
  </si>
  <si>
    <t xml:space="preserve">  Dried mango, finely chopped</t>
  </si>
  <si>
    <t xml:space="preserve">  Curry powder and vegetables</t>
  </si>
  <si>
    <t>TRIP TOTALS</t>
  </si>
  <si>
    <t>DAILY AVERAGE</t>
  </si>
  <si>
    <t xml:space="preserve">TOTAL DRY WEIGHT IN POUNDS  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</si>
</sst>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##"/>
    <numFmt numFmtId="60" formatCode="0.0"/>
  </numFmts>
  <fonts count="25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Arial"/>
    </font>
    <font>
      <b val="1"/>
      <sz val="10"/>
      <color indexed="12"/>
      <name val="Arial"/>
    </font>
    <font>
      <i val="1"/>
      <sz val="10"/>
      <color indexed="15"/>
      <name val="Arial"/>
    </font>
    <font>
      <sz val="10"/>
      <color indexed="11"/>
      <name val="Arial"/>
    </font>
    <font>
      <b val="1"/>
      <sz val="12"/>
      <color indexed="11"/>
      <name val="Arial"/>
    </font>
    <font>
      <sz val="10"/>
      <color indexed="8"/>
      <name val="Arial"/>
    </font>
    <font>
      <sz val="10"/>
      <color indexed="12"/>
      <name val="Arial"/>
    </font>
    <font>
      <u val="single"/>
      <sz val="10"/>
      <color indexed="17"/>
      <name val="Arial"/>
    </font>
    <font>
      <sz val="10"/>
      <color indexed="19"/>
      <name val="Arial"/>
    </font>
    <font>
      <u val="single"/>
      <sz val="11"/>
      <color indexed="17"/>
      <name val="Carlito"/>
    </font>
    <font>
      <sz val="10"/>
      <color indexed="21"/>
      <name val="Arial"/>
    </font>
    <font>
      <b val="1"/>
      <sz val="10"/>
      <color indexed="10"/>
      <name val="Arial"/>
    </font>
    <font>
      <sz val="12"/>
      <color indexed="11"/>
      <name val="Arial"/>
    </font>
    <font>
      <sz val="11"/>
      <color indexed="19"/>
      <name val="Carlito"/>
    </font>
    <font>
      <sz val="10"/>
      <color indexed="27"/>
      <name val="Arial"/>
    </font>
    <font>
      <sz val="10"/>
      <color indexed="34"/>
      <name val="Arial"/>
    </font>
    <font>
      <sz val="10"/>
      <color indexed="35"/>
      <name val="Arial"/>
    </font>
    <font>
      <sz val="12"/>
      <color indexed="8"/>
      <name val="Arial"/>
    </font>
    <font>
      <b val="1"/>
      <sz val="11"/>
      <color indexed="8"/>
      <name val="Carlito"/>
    </font>
    <font>
      <sz val="10"/>
      <color indexed="8"/>
      <name val="Carlito"/>
    </font>
    <font>
      <sz val="11"/>
      <color indexed="16"/>
      <name val="Carlito"/>
    </font>
    <font>
      <sz val="10"/>
      <color indexed="16"/>
      <name val="Carlito"/>
    </font>
  </fonts>
  <fills count="19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48"/>
        <bgColor auto="1"/>
      </patternFill>
    </fill>
  </fills>
  <borders count="6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13"/>
      </right>
      <top>
        <color indexed="8"/>
      </top>
      <bottom>
        <color indexed="8"/>
      </bottom>
      <diagonal/>
    </border>
    <border>
      <left style="thin">
        <color indexed="13"/>
      </left>
      <right style="thin">
        <color indexed="13"/>
      </right>
      <top>
        <color indexed="8"/>
      </top>
      <bottom>
        <color indexed="8"/>
      </bottom>
      <diagonal/>
    </border>
    <border>
      <left style="thin">
        <color indexed="13"/>
      </left>
      <right style="thin">
        <color indexed="14"/>
      </right>
      <top>
        <color indexed="8"/>
      </top>
      <bottom>
        <color indexed="8"/>
      </bottom>
      <diagonal/>
    </border>
    <border>
      <left style="thin">
        <color indexed="14"/>
      </left>
      <right style="thin">
        <color indexed="14"/>
      </right>
      <top>
        <color indexed="8"/>
      </top>
      <bottom>
        <color indexed="8"/>
      </bottom>
      <diagonal/>
    </border>
    <border>
      <left style="thin">
        <color indexed="14"/>
      </left>
      <right style="thin">
        <color indexed="13"/>
      </right>
      <top>
        <color indexed="8"/>
      </top>
      <bottom>
        <color indexed="8"/>
      </bottom>
      <diagonal/>
    </border>
    <border>
      <left style="thin">
        <color indexed="13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13"/>
      </bottom>
      <diagonal/>
    </border>
    <border>
      <left>
        <color indexed="8"/>
      </left>
      <right style="thin">
        <color indexed="13"/>
      </right>
      <top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>
        <color indexed="8"/>
      </top>
      <bottom style="thin">
        <color indexed="13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14"/>
      </bottom>
      <diagonal/>
    </border>
    <border>
      <left style="thin">
        <color indexed="13"/>
      </left>
      <right>
        <color indexed="8"/>
      </right>
      <top style="thin">
        <color indexed="13"/>
      </top>
      <bottom style="thin">
        <color indexed="13"/>
      </bottom>
      <diagonal/>
    </border>
    <border>
      <left>
        <color indexed="8"/>
      </left>
      <right>
        <color indexed="8"/>
      </right>
      <top style="thin">
        <color indexed="13"/>
      </top>
      <bottom style="thin">
        <color indexed="13"/>
      </bottom>
      <diagonal/>
    </border>
    <border>
      <left>
        <color indexed="8"/>
      </left>
      <right/>
      <top>
        <color indexed="8"/>
      </top>
      <bottom style="thin">
        <color indexed="13"/>
      </bottom>
      <diagonal/>
    </border>
    <border>
      <left/>
      <right style="thin">
        <color indexed="13"/>
      </right>
      <top>
        <color indexed="8"/>
      </top>
      <bottom style="thin">
        <color indexed="13"/>
      </bottom>
      <diagonal/>
    </border>
    <border>
      <left style="thin">
        <color indexed="13"/>
      </left>
      <right>
        <color indexed="8"/>
      </right>
      <top style="thin">
        <color indexed="13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13"/>
      </top>
      <bottom>
        <color indexed="8"/>
      </bottom>
      <diagonal/>
    </border>
    <border>
      <left>
        <color indexed="8"/>
      </left>
      <right style="thin">
        <color indexed="14"/>
      </right>
      <top style="thin">
        <color indexed="14"/>
      </top>
      <bottom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>
        <color indexed="8"/>
      </left>
      <right style="thin">
        <color indexed="14"/>
      </right>
      <top>
        <color indexed="8"/>
      </top>
      <bottom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20"/>
      </bottom>
      <diagonal/>
    </border>
    <border>
      <left style="thin">
        <color indexed="13"/>
      </left>
      <right style="thin">
        <color indexed="13"/>
      </right>
      <top style="thin">
        <color indexed="20"/>
      </top>
      <bottom style="thin">
        <color indexed="20"/>
      </bottom>
      <diagonal/>
    </border>
    <border>
      <left style="thin">
        <color indexed="13"/>
      </left>
      <right style="thin">
        <color indexed="13"/>
      </right>
      <top style="thin">
        <color indexed="20"/>
      </top>
      <bottom style="thin">
        <color indexed="13"/>
      </bottom>
      <diagonal/>
    </border>
    <border>
      <left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>
        <color indexed="8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20"/>
      </bottom>
      <diagonal/>
    </border>
    <border>
      <left style="thin">
        <color indexed="13"/>
      </left>
      <right style="thin">
        <color indexed="14"/>
      </right>
      <top style="thin">
        <color indexed="2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20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8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20"/>
      </top>
      <bottom style="thin">
        <color indexed="14"/>
      </bottom>
      <diagonal/>
    </border>
    <border>
      <left>
        <color indexed="8"/>
      </left>
      <right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>
        <color indexed="8"/>
      </right>
      <top style="thin">
        <color indexed="14"/>
      </top>
      <bottom style="thin">
        <color indexed="14"/>
      </bottom>
      <diagonal/>
    </border>
    <border>
      <left>
        <color indexed="8"/>
      </left>
      <right style="thin">
        <color indexed="14"/>
      </right>
      <top style="thin">
        <color indexed="14"/>
      </top>
      <bottom style="thin">
        <color indexed="20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20"/>
      </top>
      <bottom style="thin">
        <color indexed="14"/>
      </bottom>
      <diagonal/>
    </border>
    <border>
      <left>
        <color indexed="8"/>
      </left>
      <right>
        <color indexed="8"/>
      </right>
      <top style="thin">
        <color indexed="14"/>
      </top>
      <bottom>
        <color indexed="8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 style="thin">
        <color indexed="13"/>
      </left>
      <right>
        <color indexed="8"/>
      </right>
      <top>
        <color indexed="8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left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center" vertical="center"/>
    </xf>
    <xf numFmtId="0" fontId="3" fillId="2" borderId="8" applyNumberFormat="0" applyFont="1" applyFill="1" applyBorder="1" applyAlignment="1" applyProtection="0">
      <alignment horizontal="center" vertical="center"/>
    </xf>
    <xf numFmtId="49" fontId="5" fillId="2" borderId="9" applyNumberFormat="1" applyFont="1" applyFill="1" applyBorder="1" applyAlignment="1" applyProtection="0">
      <alignment horizontal="left" vertical="center"/>
    </xf>
    <xf numFmtId="0" fontId="0" borderId="10" applyNumberFormat="0" applyFont="1" applyFill="0" applyBorder="1" applyAlignment="1" applyProtection="0">
      <alignment vertical="bottom"/>
    </xf>
    <xf numFmtId="0" fontId="3" fillId="2" borderId="8" applyNumberFormat="0" applyFont="1" applyFill="1" applyBorder="1" applyAlignment="1" applyProtection="0">
      <alignment vertical="center"/>
    </xf>
    <xf numFmtId="0" fontId="3" fillId="2" borderId="11" applyNumberFormat="0" applyFont="1" applyFill="1" applyBorder="1" applyAlignment="1" applyProtection="0">
      <alignment horizontal="center" vertical="center"/>
    </xf>
    <xf numFmtId="49" fontId="6" fillId="3" borderId="12" applyNumberFormat="1" applyFont="1" applyFill="1" applyBorder="1" applyAlignment="1" applyProtection="0">
      <alignment horizontal="center" vertical="center"/>
    </xf>
    <xf numFmtId="49" fontId="7" fillId="3" borderId="13" applyNumberFormat="1" applyFont="1" applyFill="1" applyBorder="1" applyAlignment="1" applyProtection="0">
      <alignment vertical="center"/>
    </xf>
    <xf numFmtId="49" fontId="7" fillId="3" borderId="13" applyNumberFormat="1" applyFont="1" applyFill="1" applyBorder="1" applyAlignment="1" applyProtection="0">
      <alignment vertical="center" wrapText="1"/>
    </xf>
    <xf numFmtId="49" fontId="7" fillId="3" borderId="13" applyNumberFormat="1" applyFont="1" applyFill="1" applyBorder="1" applyAlignment="1" applyProtection="0">
      <alignment horizontal="center" vertical="center"/>
    </xf>
    <xf numFmtId="49" fontId="7" fillId="3" borderId="14" applyNumberFormat="1" applyFont="1" applyFill="1" applyBorder="1" applyAlignment="1" applyProtection="0">
      <alignment horizontal="center" vertical="center"/>
    </xf>
    <xf numFmtId="49" fontId="7" fillId="3" borderId="15" applyNumberFormat="1" applyFont="1" applyFill="1" applyBorder="1" applyAlignment="1" applyProtection="0">
      <alignment horizontal="center" vertical="center"/>
    </xf>
    <xf numFmtId="0" fontId="6" fillId="2" borderId="16" applyNumberFormat="0" applyFont="1" applyFill="1" applyBorder="1" applyAlignment="1" applyProtection="0">
      <alignment vertical="center"/>
    </xf>
    <xf numFmtId="0" fontId="6" fillId="2" borderId="17" applyNumberFormat="0" applyFont="1" applyFill="1" applyBorder="1" applyAlignment="1" applyProtection="0">
      <alignment vertical="center"/>
    </xf>
    <xf numFmtId="0" fontId="6" fillId="2" borderId="17" applyNumberFormat="0" applyFont="1" applyFill="1" applyBorder="1" applyAlignment="1" applyProtection="0">
      <alignment horizontal="center" vertical="center"/>
    </xf>
    <xf numFmtId="0" fontId="6" fillId="2" borderId="18" applyNumberFormat="0" applyFont="1" applyFill="1" applyBorder="1" applyAlignment="1" applyProtection="0">
      <alignment horizontal="center" vertical="center"/>
    </xf>
    <xf numFmtId="0" fontId="8" borderId="19" applyNumberFormat="1" applyFont="1" applyFill="0" applyBorder="1" applyAlignment="1" applyProtection="0">
      <alignment horizontal="center" vertical="top" wrapText="1"/>
    </xf>
    <xf numFmtId="49" fontId="9" fillId="2" borderId="19" applyNumberFormat="1" applyFont="1" applyFill="1" applyBorder="1" applyAlignment="1" applyProtection="0">
      <alignment vertical="center"/>
    </xf>
    <xf numFmtId="49" fontId="9" fillId="2" borderId="19" applyNumberFormat="1" applyFont="1" applyFill="1" applyBorder="1" applyAlignment="1" applyProtection="0">
      <alignment vertical="center" wrapText="1"/>
    </xf>
    <xf numFmtId="59" fontId="9" fillId="2" borderId="19" applyNumberFormat="1" applyFont="1" applyFill="1" applyBorder="1" applyAlignment="1" applyProtection="0">
      <alignment horizontal="center" vertical="center"/>
    </xf>
    <xf numFmtId="49" fontId="9" fillId="2" borderId="19" applyNumberFormat="1" applyFont="1" applyFill="1" applyBorder="1" applyAlignment="1" applyProtection="0">
      <alignment horizontal="center" vertical="center"/>
    </xf>
    <xf numFmtId="0" fontId="9" fillId="4" borderId="19" applyNumberFormat="1" applyFont="1" applyFill="1" applyBorder="1" applyAlignment="1" applyProtection="0">
      <alignment horizontal="center" vertical="center"/>
    </xf>
    <xf numFmtId="0" fontId="3" fillId="2" borderId="7" applyNumberFormat="0" applyFont="1" applyFill="1" applyBorder="1" applyAlignment="1" applyProtection="0">
      <alignment vertical="center"/>
    </xf>
    <xf numFmtId="0" fontId="3" fillId="2" borderId="1" applyNumberFormat="0" applyFont="1" applyFill="1" applyBorder="1" applyAlignment="1" applyProtection="0">
      <alignment vertical="center"/>
    </xf>
    <xf numFmtId="0" fontId="3" fillId="2" borderId="20" applyNumberFormat="0" applyFont="1" applyFill="1" applyBorder="1" applyAlignment="1" applyProtection="0">
      <alignment horizontal="center" vertical="center"/>
    </xf>
    <xf numFmtId="49" fontId="11" fillId="2" borderId="21" applyNumberFormat="1" applyFont="1" applyFill="1" applyBorder="1" applyAlignment="1" applyProtection="0">
      <alignment vertical="center"/>
    </xf>
    <xf numFmtId="49" fontId="0" borderId="19" applyNumberFormat="1" applyFont="1" applyFill="0" applyBorder="1" applyAlignment="1" applyProtection="0">
      <alignment vertical="bottom"/>
    </xf>
    <xf numFmtId="0" fontId="11" fillId="2" borderId="19" applyNumberFormat="1" applyFont="1" applyFill="1" applyBorder="1" applyAlignment="1" applyProtection="0">
      <alignment horizontal="center" vertical="center" wrapText="1"/>
    </xf>
    <xf numFmtId="0" fontId="11" borderId="19" applyNumberFormat="1" applyFont="1" applyFill="0" applyBorder="1" applyAlignment="1" applyProtection="0">
      <alignment horizontal="center" vertical="bottom"/>
    </xf>
    <xf numFmtId="49" fontId="11" fillId="2" borderId="19" applyNumberFormat="1" applyFont="1" applyFill="1" applyBorder="1" applyAlignment="1" applyProtection="0">
      <alignment horizontal="center" vertical="center"/>
    </xf>
    <xf numFmtId="0" fontId="11" fillId="4" borderId="19" applyNumberFormat="1" applyFont="1" applyFill="1" applyBorder="1" applyAlignment="1" applyProtection="0">
      <alignment horizontal="center" vertical="center"/>
    </xf>
    <xf numFmtId="49" fontId="11" fillId="2" borderId="22" applyNumberFormat="1" applyFont="1" applyFill="1" applyBorder="1" applyAlignment="1" applyProtection="0">
      <alignment vertical="center"/>
    </xf>
    <xf numFmtId="49" fontId="11" fillId="2" borderId="19" applyNumberFormat="1" applyFont="1" applyFill="1" applyBorder="1" applyAlignment="1" applyProtection="0">
      <alignment vertical="center" wrapText="1"/>
    </xf>
    <xf numFmtId="49" fontId="11" fillId="2" borderId="23" applyNumberFormat="1" applyFont="1" applyFill="1" applyBorder="1" applyAlignment="1" applyProtection="0">
      <alignment vertical="center"/>
    </xf>
    <xf numFmtId="49" fontId="13" fillId="2" borderId="19" applyNumberFormat="1" applyFont="1" applyFill="1" applyBorder="1" applyAlignment="1" applyProtection="0">
      <alignment horizontal="left" vertical="center" wrapText="1"/>
    </xf>
    <xf numFmtId="0" fontId="11" borderId="21" applyNumberFormat="1" applyFont="1" applyFill="0" applyBorder="1" applyAlignment="1" applyProtection="0">
      <alignment horizontal="center" vertical="bottom"/>
    </xf>
    <xf numFmtId="0" fontId="11" fillId="4" borderId="21" applyNumberFormat="1" applyFont="1" applyFill="1" applyBorder="1" applyAlignment="1" applyProtection="0">
      <alignment horizontal="center" vertical="center"/>
    </xf>
    <xf numFmtId="0" fontId="3" fillId="4" borderId="12" applyNumberFormat="0" applyFont="1" applyFill="1" applyBorder="1" applyAlignment="1" applyProtection="0">
      <alignment horizontal="center" vertical="center"/>
    </xf>
    <xf numFmtId="0" fontId="3" fillId="4" borderId="13" applyNumberFormat="0" applyFont="1" applyFill="1" applyBorder="1" applyAlignment="1" applyProtection="0">
      <alignment vertical="center"/>
    </xf>
    <xf numFmtId="0" fontId="3" fillId="4" borderId="24" applyNumberFormat="0" applyFont="1" applyFill="1" applyBorder="1" applyAlignment="1" applyProtection="0">
      <alignment vertical="center" wrapText="1"/>
    </xf>
    <xf numFmtId="49" fontId="14" fillId="2" borderId="19" applyNumberFormat="1" applyFont="1" applyFill="1" applyBorder="1" applyAlignment="1" applyProtection="0">
      <alignment horizontal="center" vertical="center" wrapText="1"/>
    </xf>
    <xf numFmtId="2" fontId="4" fillId="2" borderId="23" applyNumberFormat="1" applyFont="1" applyFill="1" applyBorder="1" applyAlignment="1" applyProtection="0">
      <alignment horizontal="center" vertical="center"/>
    </xf>
    <xf numFmtId="49" fontId="4" fillId="2" borderId="19" applyNumberFormat="1" applyFont="1" applyFill="1" applyBorder="1" applyAlignment="1" applyProtection="0">
      <alignment horizontal="center" vertical="center"/>
    </xf>
    <xf numFmtId="0" fontId="4" fillId="4" borderId="23" applyNumberFormat="1" applyFont="1" applyFill="1" applyBorder="1" applyAlignment="1" applyProtection="0">
      <alignment horizontal="center" vertical="center"/>
    </xf>
    <xf numFmtId="49" fontId="6" fillId="5" borderId="12" applyNumberFormat="1" applyFont="1" applyFill="1" applyBorder="1" applyAlignment="1" applyProtection="0">
      <alignment horizontal="center" vertical="center"/>
    </xf>
    <xf numFmtId="49" fontId="7" fillId="5" borderId="25" applyNumberFormat="1" applyFont="1" applyFill="1" applyBorder="1" applyAlignment="1" applyProtection="0">
      <alignment vertical="center"/>
    </xf>
    <xf numFmtId="49" fontId="7" fillId="5" borderId="26" applyNumberFormat="1" applyFont="1" applyFill="1" applyBorder="1" applyAlignment="1" applyProtection="0">
      <alignment vertical="center" wrapText="1"/>
    </xf>
    <xf numFmtId="49" fontId="7" fillId="5" borderId="26" applyNumberFormat="1" applyFont="1" applyFill="1" applyBorder="1" applyAlignment="1" applyProtection="0">
      <alignment horizontal="center" vertical="center"/>
    </xf>
    <xf numFmtId="49" fontId="7" fillId="5" borderId="27" applyNumberFormat="1" applyFont="1" applyFill="1" applyBorder="1" applyAlignment="1" applyProtection="0">
      <alignment horizontal="center" vertical="center"/>
    </xf>
    <xf numFmtId="0" fontId="6" fillId="2" borderId="7" applyNumberFormat="0" applyFont="1" applyFill="1" applyBorder="1" applyAlignment="1" applyProtection="0">
      <alignment vertical="center"/>
    </xf>
    <xf numFmtId="0" fontId="6" fillId="2" borderId="1" applyNumberFormat="0" applyFont="1" applyFill="1" applyBorder="1" applyAlignment="1" applyProtection="0">
      <alignment vertical="center"/>
    </xf>
    <xf numFmtId="0" fontId="6" fillId="2" borderId="1" applyNumberFormat="0" applyFont="1" applyFill="1" applyBorder="1" applyAlignment="1" applyProtection="0">
      <alignment horizontal="center" vertical="center"/>
    </xf>
    <xf numFmtId="0" fontId="6" fillId="2" borderId="20" applyNumberFormat="0" applyFont="1" applyFill="1" applyBorder="1" applyAlignment="1" applyProtection="0">
      <alignment horizontal="center" vertical="center"/>
    </xf>
    <xf numFmtId="59" fontId="8" borderId="19" applyNumberFormat="1" applyFont="1" applyFill="0" applyBorder="1" applyAlignment="1" applyProtection="0">
      <alignment horizontal="center" vertical="bottom"/>
    </xf>
    <xf numFmtId="49" fontId="11" fillId="2" borderId="19" applyNumberFormat="1" applyFont="1" applyFill="1" applyBorder="1" applyAlignment="1" applyProtection="0">
      <alignment vertical="center"/>
    </xf>
    <xf numFmtId="59" fontId="11" fillId="2" borderId="19" applyNumberFormat="1" applyFont="1" applyFill="1" applyBorder="1" applyAlignment="1" applyProtection="0">
      <alignment horizontal="center" vertical="center"/>
    </xf>
    <xf numFmtId="59" fontId="11" borderId="19" applyNumberFormat="1" applyFont="1" applyFill="0" applyBorder="1" applyAlignment="1" applyProtection="0">
      <alignment horizontal="center" vertical="bottom"/>
    </xf>
    <xf numFmtId="59" fontId="9" fillId="2" borderId="28" applyNumberFormat="1" applyFont="1" applyFill="1" applyBorder="1" applyAlignment="1" applyProtection="0">
      <alignment horizontal="center" vertical="center"/>
    </xf>
    <xf numFmtId="59" fontId="11" fillId="2" borderId="29" applyNumberFormat="1" applyFont="1" applyFill="1" applyBorder="1" applyAlignment="1" applyProtection="0">
      <alignment horizontal="center" vertical="center"/>
    </xf>
    <xf numFmtId="49" fontId="9" fillId="2" borderId="28" applyNumberFormat="1" applyFont="1" applyFill="1" applyBorder="1" applyAlignment="1" applyProtection="0">
      <alignment vertical="center"/>
    </xf>
    <xf numFmtId="49" fontId="9" fillId="2" borderId="28" applyNumberFormat="1" applyFont="1" applyFill="1" applyBorder="1" applyAlignment="1" applyProtection="0">
      <alignment vertical="center" wrapText="1"/>
    </xf>
    <xf numFmtId="59" fontId="9" fillId="2" borderId="29" applyNumberFormat="1" applyFont="1" applyFill="1" applyBorder="1" applyAlignment="1" applyProtection="0">
      <alignment horizontal="center" vertical="center"/>
    </xf>
    <xf numFmtId="0" fontId="8" borderId="30" applyNumberFormat="1" applyFont="1" applyFill="0" applyBorder="1" applyAlignment="1" applyProtection="0">
      <alignment horizontal="center" vertical="top" wrapText="1"/>
    </xf>
    <xf numFmtId="49" fontId="11" fillId="2" borderId="31" applyNumberFormat="1" applyFont="1" applyFill="1" applyBorder="1" applyAlignment="1" applyProtection="0">
      <alignment vertical="center"/>
    </xf>
    <xf numFmtId="49" fontId="11" fillId="2" borderId="31" applyNumberFormat="1" applyFont="1" applyFill="1" applyBorder="1" applyAlignment="1" applyProtection="0">
      <alignment vertical="center" wrapText="1"/>
    </xf>
    <xf numFmtId="59" fontId="11" fillId="2" borderId="32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right" vertical="center"/>
    </xf>
    <xf numFmtId="0" fontId="3" fillId="2" borderId="2" applyNumberFormat="0" applyFont="1" applyFill="1" applyBorder="1" applyAlignment="1" applyProtection="0">
      <alignment horizontal="right" vertical="center"/>
    </xf>
    <xf numFmtId="49" fontId="11" fillId="2" borderId="33" applyNumberFormat="1" applyFont="1" applyFill="1" applyBorder="1" applyAlignment="1" applyProtection="0">
      <alignment vertical="center"/>
    </xf>
    <xf numFmtId="49" fontId="11" fillId="2" borderId="33" applyNumberFormat="1" applyFont="1" applyFill="1" applyBorder="1" applyAlignment="1" applyProtection="0">
      <alignment vertical="center" wrapText="1"/>
    </xf>
    <xf numFmtId="0" fontId="11" fillId="2" borderId="33" applyNumberFormat="1" applyFont="1" applyFill="1" applyBorder="1" applyAlignment="1" applyProtection="0">
      <alignment horizontal="center" vertical="center" wrapText="1"/>
    </xf>
    <xf numFmtId="49" fontId="11" fillId="2" borderId="23" applyNumberFormat="1" applyFont="1" applyFill="1" applyBorder="1" applyAlignment="1" applyProtection="0">
      <alignment vertical="center" wrapText="1"/>
    </xf>
    <xf numFmtId="0" fontId="11" fillId="2" borderId="23" applyNumberFormat="1" applyFont="1" applyFill="1" applyBorder="1" applyAlignment="1" applyProtection="0">
      <alignment horizontal="center" vertical="center" wrapText="1"/>
    </xf>
    <xf numFmtId="49" fontId="11" fillId="2" borderId="21" applyNumberFormat="1" applyFont="1" applyFill="1" applyBorder="1" applyAlignment="1" applyProtection="0">
      <alignment horizontal="center" vertical="center"/>
    </xf>
    <xf numFmtId="49" fontId="11" fillId="2" borderId="22" applyNumberFormat="1" applyFont="1" applyFill="1" applyBorder="1" applyAlignment="1" applyProtection="0">
      <alignment horizontal="center" vertical="center"/>
    </xf>
    <xf numFmtId="49" fontId="4" fillId="2" borderId="23" applyNumberFormat="1" applyFont="1" applyFill="1" applyBorder="1" applyAlignment="1" applyProtection="0">
      <alignment horizontal="center" vertical="center"/>
    </xf>
    <xf numFmtId="49" fontId="6" fillId="6" borderId="12" applyNumberFormat="1" applyFont="1" applyFill="1" applyBorder="1" applyAlignment="1" applyProtection="0">
      <alignment horizontal="center" vertical="center"/>
    </xf>
    <xf numFmtId="49" fontId="7" fillId="6" borderId="25" applyNumberFormat="1" applyFont="1" applyFill="1" applyBorder="1" applyAlignment="1" applyProtection="0">
      <alignment vertical="center"/>
    </xf>
    <xf numFmtId="49" fontId="7" fillId="6" borderId="26" applyNumberFormat="1" applyFont="1" applyFill="1" applyBorder="1" applyAlignment="1" applyProtection="0">
      <alignment vertical="center" wrapText="1"/>
    </xf>
    <xf numFmtId="49" fontId="7" fillId="6" borderId="26" applyNumberFormat="1" applyFont="1" applyFill="1" applyBorder="1" applyAlignment="1" applyProtection="0">
      <alignment horizontal="center" vertical="center"/>
    </xf>
    <xf numFmtId="49" fontId="7" fillId="6" borderId="27" applyNumberFormat="1" applyFont="1" applyFill="1" applyBorder="1" applyAlignment="1" applyProtection="0">
      <alignment horizontal="center" vertical="center"/>
    </xf>
    <xf numFmtId="49" fontId="9" fillId="2" borderId="21" applyNumberFormat="1" applyFont="1" applyFill="1" applyBorder="1" applyAlignment="1" applyProtection="0">
      <alignment vertical="center"/>
    </xf>
    <xf numFmtId="49" fontId="9" fillId="2" borderId="21" applyNumberFormat="1" applyFont="1" applyFill="1" applyBorder="1" applyAlignment="1" applyProtection="0">
      <alignment horizontal="center" vertical="center"/>
    </xf>
    <xf numFmtId="49" fontId="9" fillId="2" borderId="22" applyNumberFormat="1" applyFont="1" applyFill="1" applyBorder="1" applyAlignment="1" applyProtection="0">
      <alignment vertical="center"/>
    </xf>
    <xf numFmtId="0" fontId="8" borderId="19" applyNumberFormat="1" applyFont="1" applyFill="0" applyBorder="1" applyAlignment="1" applyProtection="0">
      <alignment horizontal="center" vertical="bottom"/>
    </xf>
    <xf numFmtId="49" fontId="9" fillId="2" borderId="22" applyNumberFormat="1" applyFont="1" applyFill="1" applyBorder="1" applyAlignment="1" applyProtection="0">
      <alignment horizontal="center" vertical="center"/>
    </xf>
    <xf numFmtId="49" fontId="11" fillId="2" borderId="23" applyNumberFormat="1" applyFont="1" applyFill="1" applyBorder="1" applyAlignment="1" applyProtection="0">
      <alignment horizontal="center" vertical="center"/>
    </xf>
    <xf numFmtId="49" fontId="9" fillId="2" borderId="21" applyNumberFormat="1" applyFont="1" applyFill="1" applyBorder="1" applyAlignment="1" applyProtection="0">
      <alignment vertical="center" wrapText="1"/>
    </xf>
    <xf numFmtId="0" fontId="0" borderId="8" applyNumberFormat="0" applyFont="1" applyFill="0" applyBorder="1" applyAlignment="1" applyProtection="0">
      <alignment vertical="bottom"/>
    </xf>
    <xf numFmtId="49" fontId="9" fillId="2" borderId="34" applyNumberFormat="1" applyFont="1" applyFill="1" applyBorder="1" applyAlignment="1" applyProtection="0">
      <alignment vertical="center" wrapText="1"/>
    </xf>
    <xf numFmtId="0" fontId="9" fillId="2" borderId="32" applyNumberFormat="1" applyFont="1" applyFill="1" applyBorder="1" applyAlignment="1" applyProtection="0">
      <alignment horizontal="center" vertical="center" wrapText="1"/>
    </xf>
    <xf numFmtId="0" fontId="3" fillId="2" borderId="3" applyNumberFormat="0" applyFont="1" applyFill="1" applyBorder="1" applyAlignment="1" applyProtection="0">
      <alignment vertical="center"/>
    </xf>
    <xf numFmtId="49" fontId="7" fillId="7" borderId="19" applyNumberFormat="1" applyFont="1" applyFill="1" applyBorder="1" applyAlignment="1" applyProtection="0">
      <alignment vertical="center"/>
    </xf>
    <xf numFmtId="49" fontId="7" fillId="7" borderId="19" applyNumberFormat="1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49" fontId="9" fillId="2" borderId="23" applyNumberFormat="1" applyFont="1" applyFill="1" applyBorder="1" applyAlignment="1" applyProtection="0">
      <alignment vertical="center"/>
    </xf>
    <xf numFmtId="0" fontId="3" fillId="2" borderId="35" applyNumberFormat="1" applyFont="1" applyFill="1" applyBorder="1" applyAlignment="1" applyProtection="0">
      <alignment horizontal="center" vertical="center" wrapText="1"/>
    </xf>
    <xf numFmtId="0" fontId="8" borderId="21" applyNumberFormat="1" applyFont="1" applyFill="0" applyBorder="1" applyAlignment="1" applyProtection="0">
      <alignment horizontal="center" vertical="bottom"/>
    </xf>
    <xf numFmtId="0" fontId="9" fillId="4" borderId="21" applyNumberFormat="1" applyFont="1" applyFill="1" applyBorder="1" applyAlignment="1" applyProtection="0">
      <alignment horizontal="center" vertical="center"/>
    </xf>
    <xf numFmtId="49" fontId="9" fillId="2" borderId="30" applyNumberFormat="1" applyFont="1" applyFill="1" applyBorder="1" applyAlignment="1" applyProtection="0">
      <alignment vertical="center"/>
    </xf>
    <xf numFmtId="2" fontId="9" fillId="2" borderId="36" applyNumberFormat="1" applyFont="1" applyFill="1" applyBorder="1" applyAlignment="1" applyProtection="0">
      <alignment horizontal="center" vertical="center"/>
    </xf>
    <xf numFmtId="0" fontId="4" fillId="2" borderId="4" applyNumberFormat="0" applyFont="1" applyFill="1" applyBorder="1" applyAlignment="1" applyProtection="0">
      <alignment horizontal="center" vertical="center"/>
    </xf>
    <xf numFmtId="49" fontId="15" fillId="8" borderId="12" applyNumberFormat="1" applyFont="1" applyFill="1" applyBorder="1" applyAlignment="1" applyProtection="0">
      <alignment horizontal="center" vertical="center"/>
    </xf>
    <xf numFmtId="49" fontId="7" fillId="8" borderId="25" applyNumberFormat="1" applyFont="1" applyFill="1" applyBorder="1" applyAlignment="1" applyProtection="0">
      <alignment vertical="center"/>
    </xf>
    <xf numFmtId="49" fontId="7" fillId="8" borderId="26" applyNumberFormat="1" applyFont="1" applyFill="1" applyBorder="1" applyAlignment="1" applyProtection="0">
      <alignment vertical="center" wrapText="1"/>
    </xf>
    <xf numFmtId="49" fontId="7" fillId="8" borderId="37" applyNumberFormat="1" applyFont="1" applyFill="1" applyBorder="1" applyAlignment="1" applyProtection="0">
      <alignment horizontal="center" vertical="center"/>
    </xf>
    <xf numFmtId="49" fontId="7" fillId="8" borderId="26" applyNumberFormat="1" applyFont="1" applyFill="1" applyBorder="1" applyAlignment="1" applyProtection="0">
      <alignment horizontal="center" vertical="center"/>
    </xf>
    <xf numFmtId="49" fontId="7" fillId="8" borderId="27" applyNumberFormat="1" applyFont="1" applyFill="1" applyBorder="1" applyAlignment="1" applyProtection="0">
      <alignment horizontal="center" vertical="center"/>
    </xf>
    <xf numFmtId="0" fontId="6" fillId="2" borderId="3" applyNumberFormat="0" applyFont="1" applyFill="1" applyBorder="1" applyAlignment="1" applyProtection="0">
      <alignment vertical="center"/>
    </xf>
    <xf numFmtId="0" fontId="6" fillId="2" borderId="3" applyNumberFormat="0" applyFont="1" applyFill="1" applyBorder="1" applyAlignment="1" applyProtection="0">
      <alignment horizontal="center" vertical="center"/>
    </xf>
    <xf numFmtId="59" fontId="9" fillId="2" borderId="23" applyNumberFormat="1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16" borderId="19" applyNumberFormat="1" applyFont="1" applyFill="0" applyBorder="1" applyAlignment="1" applyProtection="0">
      <alignment vertical="bottom"/>
    </xf>
    <xf numFmtId="0" fontId="16" borderId="19" applyNumberFormat="1" applyFont="1" applyFill="0" applyBorder="1" applyAlignment="1" applyProtection="0">
      <alignment horizontal="center" vertical="bottom"/>
    </xf>
    <xf numFmtId="49" fontId="16" borderId="19" applyNumberFormat="1" applyFont="1" applyFill="0" applyBorder="1" applyAlignment="1" applyProtection="0">
      <alignment horizontal="center" vertical="bottom"/>
    </xf>
    <xf numFmtId="0" fontId="16" fillId="4" borderId="19" applyNumberFormat="1" applyFont="1" applyFill="1" applyBorder="1" applyAlignment="1" applyProtection="0">
      <alignment horizontal="center" vertical="bottom"/>
    </xf>
    <xf numFmtId="49" fontId="9" fillId="2" borderId="38" applyNumberFormat="1" applyFont="1" applyFill="1" applyBorder="1" applyAlignment="1" applyProtection="0">
      <alignment vertical="center"/>
    </xf>
    <xf numFmtId="2" fontId="9" fillId="2" borderId="39" applyNumberFormat="1" applyFont="1" applyFill="1" applyBorder="1" applyAlignment="1" applyProtection="0">
      <alignment horizontal="center" vertical="center"/>
    </xf>
    <xf numFmtId="49" fontId="9" fillId="2" borderId="40" applyNumberFormat="1" applyFont="1" applyFill="1" applyBorder="1" applyAlignment="1" applyProtection="0">
      <alignment horizontal="center" vertical="center"/>
    </xf>
    <xf numFmtId="0" fontId="3" fillId="2" borderId="41" applyNumberFormat="0" applyFont="1" applyFill="1" applyBorder="1" applyAlignment="1" applyProtection="0">
      <alignment vertical="center"/>
    </xf>
    <xf numFmtId="49" fontId="7" fillId="9" borderId="42" applyNumberFormat="1" applyFont="1" applyFill="1" applyBorder="1" applyAlignment="1" applyProtection="0">
      <alignment vertical="center"/>
    </xf>
    <xf numFmtId="2" fontId="7" fillId="9" borderId="42" applyNumberFormat="1" applyFont="1" applyFill="1" applyBorder="1" applyAlignment="1" applyProtection="0">
      <alignment horizontal="center" vertical="center"/>
    </xf>
    <xf numFmtId="49" fontId="7" fillId="9" borderId="42" applyNumberFormat="1" applyFont="1" applyFill="1" applyBorder="1" applyAlignment="1" applyProtection="0">
      <alignment horizontal="center" vertical="center"/>
    </xf>
    <xf numFmtId="0" fontId="3" fillId="2" borderId="43" applyNumberFormat="0" applyFont="1" applyFill="1" applyBorder="1" applyAlignment="1" applyProtection="0">
      <alignment horizontal="center" vertical="center"/>
    </xf>
    <xf numFmtId="49" fontId="17" fillId="2" borderId="19" applyNumberFormat="1" applyFont="1" applyFill="1" applyBorder="1" applyAlignment="1" applyProtection="0">
      <alignment horizontal="left" vertical="center" wrapText="1"/>
    </xf>
    <xf numFmtId="0" fontId="6" fillId="2" borderId="43" applyNumberFormat="0" applyFont="1" applyFill="1" applyBorder="1" applyAlignment="1" applyProtection="0">
      <alignment horizontal="center" vertical="center"/>
    </xf>
    <xf numFmtId="60" fontId="7" fillId="9" borderId="42" applyNumberFormat="1" applyFont="1" applyFill="1" applyBorder="1" applyAlignment="1" applyProtection="0">
      <alignment horizontal="center" vertical="center"/>
    </xf>
    <xf numFmtId="49" fontId="7" fillId="7" borderId="42" applyNumberFormat="1" applyFont="1" applyFill="1" applyBorder="1" applyAlignment="1" applyProtection="0">
      <alignment vertical="bottom"/>
    </xf>
    <xf numFmtId="0" fontId="7" fillId="7" borderId="42" applyNumberFormat="1" applyFont="1" applyFill="1" applyBorder="1" applyAlignment="1" applyProtection="0">
      <alignment horizontal="center" vertical="bottom"/>
    </xf>
    <xf numFmtId="49" fontId="7" fillId="7" borderId="42" applyNumberFormat="1" applyFont="1" applyFill="1" applyBorder="1" applyAlignment="1" applyProtection="0">
      <alignment horizontal="center" vertical="bottom"/>
    </xf>
    <xf numFmtId="0" fontId="0" borderId="44" applyNumberFormat="0" applyFont="1" applyFill="0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45" applyNumberFormat="0" applyFont="1" applyFill="1" applyBorder="1" applyAlignment="1" applyProtection="0">
      <alignment vertical="center"/>
    </xf>
    <xf numFmtId="0" fontId="3" fillId="2" borderId="45" applyNumberFormat="0" applyFont="1" applyFill="1" applyBorder="1" applyAlignment="1" applyProtection="0">
      <alignment horizontal="center" vertical="center"/>
    </xf>
    <xf numFmtId="49" fontId="7" fillId="10" borderId="46" applyNumberFormat="1" applyFont="1" applyFill="1" applyBorder="1" applyAlignment="1" applyProtection="0">
      <alignment vertical="center"/>
    </xf>
    <xf numFmtId="49" fontId="7" fillId="10" borderId="47" applyNumberFormat="1" applyFont="1" applyFill="1" applyBorder="1" applyAlignment="1" applyProtection="0">
      <alignment horizontal="center" vertical="center"/>
    </xf>
    <xf numFmtId="49" fontId="7" fillId="10" borderId="48" applyNumberFormat="1" applyFont="1" applyFill="1" applyBorder="1" applyAlignment="1" applyProtection="0">
      <alignment horizontal="center" vertical="center"/>
    </xf>
    <xf numFmtId="0" fontId="4" fillId="2" borderId="43" applyNumberFormat="0" applyFont="1" applyFill="1" applyBorder="1" applyAlignment="1" applyProtection="0">
      <alignment horizontal="center" vertical="center"/>
    </xf>
    <xf numFmtId="49" fontId="9" fillId="2" borderId="23" applyNumberFormat="1" applyFont="1" applyFill="1" applyBorder="1" applyAlignment="1" applyProtection="0">
      <alignment vertical="center" wrapText="1"/>
    </xf>
    <xf numFmtId="0" fontId="9" fillId="2" borderId="19" applyNumberFormat="1" applyFont="1" applyFill="1" applyBorder="1" applyAlignment="1" applyProtection="0">
      <alignment horizontal="center" vertical="center" wrapText="1"/>
    </xf>
    <xf numFmtId="0" fontId="3" fillId="2" borderId="4" applyNumberFormat="0" applyFont="1" applyFill="1" applyBorder="1" applyAlignment="1" applyProtection="0">
      <alignment vertical="center"/>
    </xf>
    <xf numFmtId="0" fontId="0" borderId="49" applyNumberFormat="0" applyFont="1" applyFill="0" applyBorder="1" applyAlignment="1" applyProtection="0">
      <alignment vertical="bottom"/>
    </xf>
    <xf numFmtId="0" fontId="0" borderId="49" applyNumberFormat="0" applyFont="1" applyFill="0" applyBorder="1" applyAlignment="1" applyProtection="0">
      <alignment horizontal="center" vertical="bottom"/>
    </xf>
    <xf numFmtId="49" fontId="9" fillId="2" borderId="50" applyNumberFormat="1" applyFont="1" applyFill="1" applyBorder="1" applyAlignment="1" applyProtection="0">
      <alignment horizontal="center" vertical="center"/>
    </xf>
    <xf numFmtId="0" fontId="3" fillId="2" borderId="6" applyNumberFormat="0" applyFont="1" applyFill="1" applyBorder="1" applyAlignment="1" applyProtection="0">
      <alignment horizontal="center" vertical="center"/>
    </xf>
    <xf numFmtId="0" fontId="3" fillId="2" borderId="19" applyNumberFormat="0" applyFont="1" applyFill="1" applyBorder="1" applyAlignment="1" applyProtection="0">
      <alignment vertical="center"/>
    </xf>
    <xf numFmtId="0" fontId="3" fillId="2" borderId="19" applyNumberFormat="0" applyFont="1" applyFill="1" applyBorder="1" applyAlignment="1" applyProtection="0">
      <alignment vertical="center" wrapText="1"/>
    </xf>
    <xf numFmtId="0" fontId="3" fillId="2" borderId="19" applyNumberFormat="0" applyFont="1" applyFill="1" applyBorder="1" applyAlignment="1" applyProtection="0">
      <alignment horizontal="center" vertical="center" wrapText="1"/>
    </xf>
    <xf numFmtId="0" fontId="0" borderId="31" applyNumberFormat="0" applyFont="1" applyFill="0" applyBorder="1" applyAlignment="1" applyProtection="0">
      <alignment vertical="bottom"/>
    </xf>
    <xf numFmtId="0" fontId="0" borderId="31" applyNumberFormat="0" applyFont="1" applyFill="0" applyBorder="1" applyAlignment="1" applyProtection="0">
      <alignment horizontal="center" vertical="bottom"/>
    </xf>
    <xf numFmtId="0" fontId="3" fillId="2" borderId="31" applyNumberFormat="0" applyFont="1" applyFill="1" applyBorder="1" applyAlignment="1" applyProtection="0">
      <alignment vertical="center"/>
    </xf>
    <xf numFmtId="0" fontId="3" fillId="2" borderId="31" applyNumberFormat="0" applyFont="1" applyFill="1" applyBorder="1" applyAlignment="1" applyProtection="0">
      <alignment horizontal="center" vertical="center"/>
    </xf>
    <xf numFmtId="49" fontId="6" fillId="11" borderId="12" applyNumberFormat="1" applyFont="1" applyFill="1" applyBorder="1" applyAlignment="1" applyProtection="0">
      <alignment horizontal="center" vertical="center"/>
    </xf>
    <xf numFmtId="49" fontId="7" fillId="11" borderId="25" applyNumberFormat="1" applyFont="1" applyFill="1" applyBorder="1" applyAlignment="1" applyProtection="0">
      <alignment vertical="center"/>
    </xf>
    <xf numFmtId="49" fontId="7" fillId="11" borderId="37" applyNumberFormat="1" applyFont="1" applyFill="1" applyBorder="1" applyAlignment="1" applyProtection="0">
      <alignment vertical="center" wrapText="1"/>
    </xf>
    <xf numFmtId="49" fontId="7" fillId="11" borderId="37" applyNumberFormat="1" applyFont="1" applyFill="1" applyBorder="1" applyAlignment="1" applyProtection="0">
      <alignment horizontal="center" vertical="center"/>
    </xf>
    <xf numFmtId="49" fontId="7" fillId="11" borderId="26" applyNumberFormat="1" applyFont="1" applyFill="1" applyBorder="1" applyAlignment="1" applyProtection="0">
      <alignment horizontal="center" vertical="center"/>
    </xf>
    <xf numFmtId="49" fontId="7" fillId="11" borderId="27" applyNumberFormat="1" applyFont="1" applyFill="1" applyBorder="1" applyAlignment="1" applyProtection="0">
      <alignment horizontal="center" vertical="center"/>
    </xf>
    <xf numFmtId="0" fontId="6" fillId="2" borderId="4" applyNumberFormat="0" applyFont="1" applyFill="1" applyBorder="1" applyAlignment="1" applyProtection="0">
      <alignment vertical="center"/>
    </xf>
    <xf numFmtId="49" fontId="13" fillId="2" borderId="23" applyNumberFormat="1" applyFont="1" applyFill="1" applyBorder="1" applyAlignment="1" applyProtection="0">
      <alignment horizontal="left" vertical="center" wrapText="1"/>
    </xf>
    <xf numFmtId="0" fontId="8" borderId="23" applyNumberFormat="1" applyFont="1" applyFill="0" applyBorder="1" applyAlignment="1" applyProtection="0">
      <alignment horizontal="center" vertical="top" wrapText="1"/>
    </xf>
    <xf numFmtId="0" fontId="9" fillId="4" borderId="23" applyNumberFormat="1" applyFont="1" applyFill="1" applyBorder="1" applyAlignment="1" applyProtection="0">
      <alignment horizontal="center" vertical="center"/>
    </xf>
    <xf numFmtId="49" fontId="3" fillId="2" borderId="19" applyNumberFormat="1" applyFont="1" applyFill="1" applyBorder="1" applyAlignment="1" applyProtection="0">
      <alignment vertical="center"/>
    </xf>
    <xf numFmtId="0" fontId="3" fillId="2" borderId="19" applyNumberFormat="1" applyFont="1" applyFill="1" applyBorder="1" applyAlignment="1" applyProtection="0">
      <alignment horizontal="center" vertical="center" wrapText="1"/>
    </xf>
    <xf numFmtId="49" fontId="3" fillId="2" borderId="19" applyNumberFormat="1" applyFont="1" applyFill="1" applyBorder="1" applyAlignment="1" applyProtection="0">
      <alignment vertical="center" wrapText="1"/>
    </xf>
    <xf numFmtId="2" fontId="4" fillId="2" borderId="19" applyNumberFormat="1" applyFont="1" applyFill="1" applyBorder="1" applyAlignment="1" applyProtection="0">
      <alignment horizontal="center" vertical="center"/>
    </xf>
    <xf numFmtId="0" fontId="4" fillId="4" borderId="19" applyNumberFormat="1" applyFont="1" applyFill="1" applyBorder="1" applyAlignment="1" applyProtection="0">
      <alignment horizontal="center" vertical="center"/>
    </xf>
    <xf numFmtId="49" fontId="6" fillId="12" borderId="12" applyNumberFormat="1" applyFont="1" applyFill="1" applyBorder="1" applyAlignment="1" applyProtection="0">
      <alignment horizontal="center" vertical="center"/>
    </xf>
    <xf numFmtId="49" fontId="7" fillId="12" borderId="25" applyNumberFormat="1" applyFont="1" applyFill="1" applyBorder="1" applyAlignment="1" applyProtection="0">
      <alignment vertical="center"/>
    </xf>
    <xf numFmtId="49" fontId="7" fillId="12" borderId="37" applyNumberFormat="1" applyFont="1" applyFill="1" applyBorder="1" applyAlignment="1" applyProtection="0">
      <alignment vertical="center" wrapText="1"/>
    </xf>
    <xf numFmtId="49" fontId="7" fillId="12" borderId="37" applyNumberFormat="1" applyFont="1" applyFill="1" applyBorder="1" applyAlignment="1" applyProtection="0">
      <alignment horizontal="center" vertical="center"/>
    </xf>
    <xf numFmtId="49" fontId="7" fillId="12" borderId="26" applyNumberFormat="1" applyFont="1" applyFill="1" applyBorder="1" applyAlignment="1" applyProtection="0">
      <alignment horizontal="center" vertical="center"/>
    </xf>
    <xf numFmtId="49" fontId="7" fillId="12" borderId="27" applyNumberFormat="1" applyFont="1" applyFill="1" applyBorder="1" applyAlignment="1" applyProtection="0">
      <alignment horizontal="center" vertical="center"/>
    </xf>
    <xf numFmtId="49" fontId="3" fillId="2" borderId="31" applyNumberFormat="1" applyFont="1" applyFill="1" applyBorder="1" applyAlignment="1" applyProtection="0">
      <alignment horizontal="right" vertical="center"/>
    </xf>
    <xf numFmtId="0" fontId="3" fillId="2" borderId="31" applyNumberFormat="1" applyFont="1" applyFill="1" applyBorder="1" applyAlignment="1" applyProtection="0">
      <alignment horizontal="center" vertical="center"/>
    </xf>
    <xf numFmtId="49" fontId="9" fillId="2" borderId="51" applyNumberFormat="1" applyFont="1" applyFill="1" applyBorder="1" applyAlignment="1" applyProtection="0">
      <alignment horizontal="center" vertical="center"/>
    </xf>
    <xf numFmtId="0" fontId="3" fillId="2" borderId="52" applyNumberFormat="0" applyFont="1" applyFill="1" applyBorder="1" applyAlignment="1" applyProtection="0">
      <alignment vertical="center"/>
    </xf>
    <xf numFmtId="0" fontId="3" fillId="2" borderId="52" applyNumberFormat="0" applyFont="1" applyFill="1" applyBorder="1" applyAlignment="1" applyProtection="0">
      <alignment horizontal="center" vertical="center"/>
    </xf>
    <xf numFmtId="49" fontId="7" fillId="13" borderId="53" applyNumberFormat="1" applyFont="1" applyFill="1" applyBorder="1" applyAlignment="1" applyProtection="0">
      <alignment vertical="center"/>
    </xf>
    <xf numFmtId="49" fontId="7" fillId="13" borderId="52" applyNumberFormat="1" applyFont="1" applyFill="1" applyBorder="1" applyAlignment="1" applyProtection="0">
      <alignment horizontal="center" vertical="center"/>
    </xf>
    <xf numFmtId="49" fontId="7" fillId="13" borderId="54" applyNumberFormat="1" applyFont="1" applyFill="1" applyBorder="1" applyAlignment="1" applyProtection="0">
      <alignment horizontal="center" vertical="center"/>
    </xf>
    <xf numFmtId="0" fontId="0" borderId="55" applyNumberFormat="0" applyFont="1" applyFill="0" applyBorder="1" applyAlignment="1" applyProtection="0">
      <alignment vertical="bottom"/>
    </xf>
    <xf numFmtId="0" fontId="0" borderId="35" applyNumberFormat="0" applyFont="1" applyFill="0" applyBorder="1" applyAlignment="1" applyProtection="0">
      <alignment horizontal="center" vertical="bottom"/>
    </xf>
    <xf numFmtId="49" fontId="9" fillId="2" borderId="56" applyNumberFormat="1" applyFont="1" applyFill="1" applyBorder="1" applyAlignment="1" applyProtection="0">
      <alignment horizontal="center" vertical="center"/>
    </xf>
    <xf numFmtId="0" fontId="0" borderId="36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horizontal="center" vertical="bottom"/>
    </xf>
    <xf numFmtId="0" fontId="9" fillId="2" borderId="21" applyNumberFormat="0" applyFont="1" applyFill="1" applyBorder="1" applyAlignment="1" applyProtection="0">
      <alignment vertical="center" wrapText="1"/>
    </xf>
    <xf numFmtId="59" fontId="9" fillId="2" borderId="21" applyNumberFormat="1" applyFont="1" applyFill="1" applyBorder="1" applyAlignment="1" applyProtection="0">
      <alignment horizontal="center" vertical="center"/>
    </xf>
    <xf numFmtId="0" fontId="9" fillId="2" borderId="23" applyNumberFormat="1" applyFont="1" applyFill="1" applyBorder="1" applyAlignment="1" applyProtection="0">
      <alignment horizontal="center" vertical="center" wrapText="1"/>
    </xf>
    <xf numFmtId="49" fontId="13" fillId="2" borderId="19" applyNumberFormat="1" applyFont="1" applyFill="1" applyBorder="1" applyAlignment="1" applyProtection="0">
      <alignment horizontal="left" vertical="center"/>
    </xf>
    <xf numFmtId="49" fontId="6" fillId="14" borderId="12" applyNumberFormat="1" applyFont="1" applyFill="1" applyBorder="1" applyAlignment="1" applyProtection="0">
      <alignment horizontal="center" vertical="center"/>
    </xf>
    <xf numFmtId="49" fontId="7" fillId="14" borderId="25" applyNumberFormat="1" applyFont="1" applyFill="1" applyBorder="1" applyAlignment="1" applyProtection="0">
      <alignment vertical="center"/>
    </xf>
    <xf numFmtId="49" fontId="7" fillId="14" borderId="26" applyNumberFormat="1" applyFont="1" applyFill="1" applyBorder="1" applyAlignment="1" applyProtection="0">
      <alignment vertical="center" wrapText="1"/>
    </xf>
    <xf numFmtId="49" fontId="7" fillId="14" borderId="37" applyNumberFormat="1" applyFont="1" applyFill="1" applyBorder="1" applyAlignment="1" applyProtection="0">
      <alignment horizontal="center" vertical="center"/>
    </xf>
    <xf numFmtId="49" fontId="7" fillId="14" borderId="26" applyNumberFormat="1" applyFont="1" applyFill="1" applyBorder="1" applyAlignment="1" applyProtection="0">
      <alignment horizontal="center" vertical="center"/>
    </xf>
    <xf numFmtId="49" fontId="7" fillId="14" borderId="27" applyNumberFormat="1" applyFont="1" applyFill="1" applyBorder="1" applyAlignment="1" applyProtection="0">
      <alignment horizontal="center" vertical="center"/>
    </xf>
    <xf numFmtId="49" fontId="0" borderId="57" applyNumberFormat="1" applyFont="1" applyFill="0" applyBorder="1" applyAlignment="1" applyProtection="0">
      <alignment horizontal="right" vertical="bottom"/>
    </xf>
    <xf numFmtId="0" fontId="0" borderId="28" applyNumberFormat="1" applyFont="1" applyFill="0" applyBorder="1" applyAlignment="1" applyProtection="0">
      <alignment horizontal="center" vertical="bottom"/>
    </xf>
    <xf numFmtId="49" fontId="9" fillId="2" borderId="58" applyNumberFormat="1" applyFont="1" applyFill="1" applyBorder="1" applyAlignment="1" applyProtection="0">
      <alignment horizontal="center" vertical="center"/>
    </xf>
    <xf numFmtId="0" fontId="9" fillId="2" borderId="19" applyNumberFormat="0" applyFont="1" applyFill="1" applyBorder="1" applyAlignment="1" applyProtection="0">
      <alignment vertical="center" wrapText="1"/>
    </xf>
    <xf numFmtId="0" fontId="0" borderId="59" applyNumberFormat="0" applyFont="1" applyFill="0" applyBorder="1" applyAlignment="1" applyProtection="0">
      <alignment vertical="bottom"/>
    </xf>
    <xf numFmtId="0" fontId="0" borderId="59" applyNumberFormat="0" applyFont="1" applyFill="0" applyBorder="1" applyAlignment="1" applyProtection="0">
      <alignment horizontal="center" vertical="bottom"/>
    </xf>
    <xf numFmtId="0" fontId="9" fillId="2" borderId="19" applyNumberFormat="0" applyFont="1" applyFill="1" applyBorder="1" applyAlignment="1" applyProtection="0">
      <alignment vertical="center"/>
    </xf>
    <xf numFmtId="0" fontId="4" fillId="2" borderId="19" applyNumberFormat="0" applyFont="1" applyFill="1" applyBorder="1" applyAlignment="1" applyProtection="0">
      <alignment vertical="center"/>
    </xf>
    <xf numFmtId="0" fontId="4" fillId="2" borderId="19" applyNumberFormat="0" applyFont="1" applyFill="1" applyBorder="1" applyAlignment="1" applyProtection="0">
      <alignment vertical="center" wrapText="1"/>
    </xf>
    <xf numFmtId="0" fontId="4" fillId="2" borderId="19" applyNumberFormat="0" applyFont="1" applyFill="1" applyBorder="1" applyAlignment="1" applyProtection="0">
      <alignment horizontal="center" vertical="center" wrapText="1"/>
    </xf>
    <xf numFmtId="49" fontId="6" fillId="15" borderId="12" applyNumberFormat="1" applyFont="1" applyFill="1" applyBorder="1" applyAlignment="1" applyProtection="0">
      <alignment horizontal="center" vertical="center"/>
    </xf>
    <xf numFmtId="49" fontId="7" fillId="15" borderId="25" applyNumberFormat="1" applyFont="1" applyFill="1" applyBorder="1" applyAlignment="1" applyProtection="0">
      <alignment vertical="center"/>
    </xf>
    <xf numFmtId="49" fontId="7" fillId="15" borderId="26" applyNumberFormat="1" applyFont="1" applyFill="1" applyBorder="1" applyAlignment="1" applyProtection="0">
      <alignment vertical="center" wrapText="1"/>
    </xf>
    <xf numFmtId="49" fontId="7" fillId="15" borderId="37" applyNumberFormat="1" applyFont="1" applyFill="1" applyBorder="1" applyAlignment="1" applyProtection="0">
      <alignment horizontal="center" vertical="center"/>
    </xf>
    <xf numFmtId="49" fontId="7" fillId="15" borderId="26" applyNumberFormat="1" applyFont="1" applyFill="1" applyBorder="1" applyAlignment="1" applyProtection="0">
      <alignment horizontal="center" vertical="center"/>
    </xf>
    <xf numFmtId="49" fontId="7" fillId="15" borderId="27" applyNumberFormat="1" applyFont="1" applyFill="1" applyBorder="1" applyAlignment="1" applyProtection="0">
      <alignment horizontal="center" vertical="center"/>
    </xf>
    <xf numFmtId="49" fontId="9" fillId="2" borderId="19" applyNumberFormat="1" applyFont="1" applyFill="1" applyBorder="1" applyAlignment="1" applyProtection="0">
      <alignment horizontal="left" vertical="center" wrapText="1"/>
    </xf>
    <xf numFmtId="59" fontId="9" fillId="2" borderId="22" applyNumberFormat="1" applyFont="1" applyFill="1" applyBorder="1" applyAlignment="1" applyProtection="0">
      <alignment horizontal="center" vertical="center"/>
    </xf>
    <xf numFmtId="59" fontId="8" borderId="21" applyNumberFormat="1" applyFont="1" applyFill="0" applyBorder="1" applyAlignment="1" applyProtection="0">
      <alignment horizontal="center" vertical="bottom"/>
    </xf>
    <xf numFmtId="59" fontId="8" borderId="23" applyNumberFormat="1" applyFont="1" applyFill="0" applyBorder="1" applyAlignment="1" applyProtection="0">
      <alignment horizontal="center" vertical="bottom"/>
    </xf>
    <xf numFmtId="49" fontId="9" fillId="2" borderId="23" applyNumberFormat="1" applyFont="1" applyFill="1" applyBorder="1" applyAlignment="1" applyProtection="0">
      <alignment horizontal="center" vertical="center"/>
    </xf>
    <xf numFmtId="49" fontId="9" fillId="2" borderId="21" applyNumberFormat="1" applyFont="1" applyFill="1" applyBorder="1" applyAlignment="1" applyProtection="0">
      <alignment horizontal="left" vertical="center" wrapText="1"/>
    </xf>
    <xf numFmtId="2" fontId="14" fillId="2" borderId="19" applyNumberFormat="1" applyFont="1" applyFill="1" applyBorder="1" applyAlignment="1" applyProtection="0">
      <alignment horizontal="center" vertical="center"/>
    </xf>
    <xf numFmtId="49" fontId="14" fillId="2" borderId="19" applyNumberFormat="1" applyFont="1" applyFill="1" applyBorder="1" applyAlignment="1" applyProtection="0">
      <alignment horizontal="center" vertical="center"/>
    </xf>
    <xf numFmtId="0" fontId="14" fillId="4" borderId="19" applyNumberFormat="1" applyFont="1" applyFill="1" applyBorder="1" applyAlignment="1" applyProtection="0">
      <alignment horizontal="center" vertical="center"/>
    </xf>
    <xf numFmtId="49" fontId="6" fillId="16" borderId="12" applyNumberFormat="1" applyFont="1" applyFill="1" applyBorder="1" applyAlignment="1" applyProtection="0">
      <alignment horizontal="center" vertical="center"/>
    </xf>
    <xf numFmtId="49" fontId="7" fillId="16" borderId="25" applyNumberFormat="1" applyFont="1" applyFill="1" applyBorder="1" applyAlignment="1" applyProtection="0">
      <alignment vertical="center"/>
    </xf>
    <xf numFmtId="49" fontId="7" fillId="16" borderId="26" applyNumberFormat="1" applyFont="1" applyFill="1" applyBorder="1" applyAlignment="1" applyProtection="0">
      <alignment vertical="center" wrapText="1"/>
    </xf>
    <xf numFmtId="49" fontId="7" fillId="16" borderId="37" applyNumberFormat="1" applyFont="1" applyFill="1" applyBorder="1" applyAlignment="1" applyProtection="0">
      <alignment horizontal="center" vertical="center"/>
    </xf>
    <xf numFmtId="49" fontId="7" fillId="16" borderId="26" applyNumberFormat="1" applyFont="1" applyFill="1" applyBorder="1" applyAlignment="1" applyProtection="0">
      <alignment horizontal="center" vertical="center"/>
    </xf>
    <xf numFmtId="49" fontId="7" fillId="16" borderId="27" applyNumberFormat="1" applyFont="1" applyFill="1" applyBorder="1" applyAlignment="1" applyProtection="0">
      <alignment horizontal="center" vertical="center"/>
    </xf>
    <xf numFmtId="49" fontId="18" fillId="2" borderId="19" applyNumberFormat="1" applyFont="1" applyFill="1" applyBorder="1" applyAlignment="1" applyProtection="0">
      <alignment horizontal="left" vertical="center" wrapText="1"/>
    </xf>
    <xf numFmtId="49" fontId="8" fillId="2" borderId="23" applyNumberFormat="1" applyFont="1" applyFill="1" applyBorder="1" applyAlignment="1" applyProtection="0">
      <alignment horizontal="left" vertical="center" wrapText="1"/>
    </xf>
    <xf numFmtId="0" fontId="19" fillId="2" borderId="19" applyNumberFormat="0" applyFont="1" applyFill="1" applyBorder="1" applyAlignment="1" applyProtection="0">
      <alignment horizontal="left" vertical="center" wrapText="1"/>
    </xf>
    <xf numFmtId="49" fontId="3" fillId="2" borderId="19" applyNumberFormat="1" applyFont="1" applyFill="1" applyBorder="1" applyAlignment="1" applyProtection="0">
      <alignment horizontal="center" vertical="center"/>
    </xf>
    <xf numFmtId="49" fontId="6" fillId="17" borderId="60" applyNumberFormat="1" applyFont="1" applyFill="1" applyBorder="1" applyAlignment="1" applyProtection="0">
      <alignment horizontal="center" vertical="center"/>
    </xf>
    <xf numFmtId="49" fontId="7" fillId="17" borderId="26" applyNumberFormat="1" applyFont="1" applyFill="1" applyBorder="1" applyAlignment="1" applyProtection="0">
      <alignment vertical="center"/>
    </xf>
    <xf numFmtId="49" fontId="7" fillId="17" borderId="26" applyNumberFormat="1" applyFont="1" applyFill="1" applyBorder="1" applyAlignment="1" applyProtection="0">
      <alignment vertical="center" wrapText="1"/>
    </xf>
    <xf numFmtId="49" fontId="7" fillId="17" borderId="26" applyNumberFormat="1" applyFont="1" applyFill="1" applyBorder="1" applyAlignment="1" applyProtection="0">
      <alignment horizontal="center" vertical="center"/>
    </xf>
    <xf numFmtId="49" fontId="7" fillId="17" borderId="27" applyNumberFormat="1" applyFont="1" applyFill="1" applyBorder="1" applyAlignment="1" applyProtection="0">
      <alignment horizontal="center" vertical="center"/>
    </xf>
    <xf numFmtId="49" fontId="9" fillId="2" borderId="23" applyNumberFormat="1" applyFont="1" applyFill="1" applyBorder="1" applyAlignment="1" applyProtection="0">
      <alignment horizontal="left" vertical="center" wrapText="1"/>
    </xf>
    <xf numFmtId="0" fontId="3" fillId="2" borderId="19" applyNumberFormat="0" applyFont="1" applyFill="1" applyBorder="1" applyAlignment="1" applyProtection="0">
      <alignment horizontal="center" vertical="center"/>
    </xf>
    <xf numFmtId="0" fontId="3" fillId="2" borderId="61" applyNumberFormat="0" applyFont="1" applyFill="1" applyBorder="1" applyAlignment="1" applyProtection="0">
      <alignment vertical="center"/>
    </xf>
    <xf numFmtId="0" fontId="3" fillId="2" borderId="9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0" fontId="21" fillId="3" borderId="19" applyNumberFormat="0" applyFont="1" applyFill="1" applyBorder="1" applyAlignment="1" applyProtection="0">
      <alignment vertical="center"/>
    </xf>
    <xf numFmtId="49" fontId="21" fillId="3" borderId="19" applyNumberFormat="1" applyFont="1" applyFill="1" applyBorder="1" applyAlignment="1" applyProtection="0">
      <alignment vertical="center"/>
    </xf>
    <xf numFmtId="49" fontId="21" fillId="3" borderId="19" applyNumberFormat="1" applyFont="1" applyFill="1" applyBorder="1" applyAlignment="1" applyProtection="0">
      <alignment horizontal="center" vertical="center"/>
    </xf>
    <xf numFmtId="0" fontId="21" fillId="18" borderId="19" applyNumberFormat="0" applyFont="1" applyFill="1" applyBorder="1" applyAlignment="1" applyProtection="0">
      <alignment vertical="bottom"/>
    </xf>
    <xf numFmtId="49" fontId="21" fillId="18" borderId="19" applyNumberFormat="1" applyFont="1" applyFill="1" applyBorder="1" applyAlignment="1" applyProtection="0">
      <alignment horizontal="right" vertical="bottom"/>
    </xf>
    <xf numFmtId="0" fontId="21" fillId="18" borderId="19" applyNumberFormat="1" applyFont="1" applyFill="1" applyBorder="1" applyAlignment="1" applyProtection="0">
      <alignment horizontal="center" vertical="center"/>
    </xf>
    <xf numFmtId="49" fontId="21" fillId="18" borderId="19" applyNumberFormat="1" applyFont="1" applyFill="1" applyBorder="1" applyAlignment="1" applyProtection="0">
      <alignment horizontal="center" vertical="bottom"/>
    </xf>
    <xf numFmtId="0" fontId="21" fillId="18" borderId="19" applyNumberFormat="1" applyFont="1" applyFill="1" applyBorder="1" applyAlignment="1" applyProtection="0">
      <alignment horizontal="center" vertical="bottom"/>
    </xf>
    <xf numFmtId="49" fontId="22" fillId="4" borderId="19" applyNumberFormat="1" applyFont="1" applyFill="1" applyBorder="1" applyAlignment="1" applyProtection="0">
      <alignment vertical="center"/>
    </xf>
    <xf numFmtId="0" fontId="22" fillId="4" borderId="19" applyNumberFormat="0" applyFont="1" applyFill="1" applyBorder="1" applyAlignment="1" applyProtection="0">
      <alignment horizontal="center" vertical="center"/>
    </xf>
    <xf numFmtId="0" fontId="22" fillId="4" borderId="19" applyNumberFormat="1" applyFont="1" applyFill="1" applyBorder="1" applyAlignment="1" applyProtection="0">
      <alignment horizontal="center" vertical="bottom"/>
    </xf>
    <xf numFmtId="49" fontId="22" borderId="19" applyNumberFormat="1" applyFont="1" applyFill="0" applyBorder="1" applyAlignment="1" applyProtection="0">
      <alignment vertical="bottom"/>
    </xf>
    <xf numFmtId="0" fontId="22" borderId="19" applyNumberFormat="0" applyFont="1" applyFill="0" applyBorder="1" applyAlignment="1" applyProtection="0">
      <alignment horizontal="center" vertical="bottom"/>
    </xf>
    <xf numFmtId="0" fontId="22" borderId="19" applyNumberFormat="1" applyFont="1" applyFill="0" applyBorder="1" applyAlignment="1" applyProtection="0">
      <alignment horizontal="center" vertical="bottom"/>
    </xf>
    <xf numFmtId="0" fontId="0" fillId="3" borderId="19" applyNumberFormat="0" applyFont="1" applyFill="1" applyBorder="1" applyAlignment="1" applyProtection="0">
      <alignment vertical="bottom"/>
    </xf>
    <xf numFmtId="0" fontId="22" fillId="3" borderId="19" applyNumberFormat="0" applyFont="1" applyFill="1" applyBorder="1" applyAlignment="1" applyProtection="0">
      <alignment vertical="bottom"/>
    </xf>
    <xf numFmtId="0" fontId="22" fillId="3" borderId="19" applyNumberFormat="0" applyFont="1" applyFill="1" applyBorder="1" applyAlignment="1" applyProtection="0">
      <alignment horizontal="center" vertical="bottom"/>
    </xf>
    <xf numFmtId="0" fontId="23" fillId="3" borderId="19" applyNumberFormat="0" applyFont="1" applyFill="1" applyBorder="1" applyAlignment="1" applyProtection="0">
      <alignment vertical="bottom"/>
    </xf>
    <xf numFmtId="0" fontId="24" fillId="3" borderId="19" applyNumberFormat="0" applyFont="1" applyFill="1" applyBorder="1" applyAlignment="1" applyProtection="0">
      <alignment vertical="bottom"/>
    </xf>
    <xf numFmtId="0" fontId="24" fillId="3" borderId="19" applyNumberFormat="0" applyFont="1" applyFill="1" applyBorder="1" applyAlignment="1" applyProtection="0">
      <alignment horizontal="center" vertical="bottom"/>
    </xf>
    <xf numFmtId="0" fontId="22" fillId="4" borderId="19" applyNumberFormat="1" applyFont="1" applyFill="1" applyBorder="1" applyAlignment="1" applyProtection="0">
      <alignment horizontal="center" vertical="center"/>
    </xf>
    <xf numFmtId="49" fontId="13" borderId="19" applyNumberFormat="1" applyFont="1" applyFill="0" applyBorder="1" applyAlignment="1" applyProtection="0">
      <alignment horizontal="left" vertical="bottom"/>
    </xf>
    <xf numFmtId="0" fontId="22" borderId="19" applyNumberFormat="0" applyFont="1" applyFill="0" applyBorder="1" applyAlignment="1" applyProtection="0">
      <alignment vertical="bottom"/>
    </xf>
    <xf numFmtId="49" fontId="22" fillId="4" borderId="19" applyNumberFormat="1" applyFont="1" applyFill="1" applyBorder="1" applyAlignment="1" applyProtection="0">
      <alignment vertical="bottom"/>
    </xf>
    <xf numFmtId="0" fontId="0" fillId="18" borderId="19" applyNumberFormat="0" applyFont="1" applyFill="1" applyBorder="1" applyAlignment="1" applyProtection="0">
      <alignment vertical="bottom"/>
    </xf>
    <xf numFmtId="0" fontId="0" fillId="18" borderId="19" applyNumberFormat="0" applyFont="1" applyFill="1" applyBorder="1" applyAlignment="1" applyProtection="0">
      <alignment horizontal="center" vertical="bottom"/>
    </xf>
    <xf numFmtId="49" fontId="21" fillId="18" borderId="19" applyNumberFormat="1" applyFont="1" applyFill="1" applyBorder="1" applyAlignment="1" applyProtection="0">
      <alignment vertical="bottom"/>
    </xf>
    <xf numFmtId="60" fontId="22" borderId="19" applyNumberFormat="1" applyFont="1" applyFill="0" applyBorder="1" applyAlignment="1" applyProtection="0">
      <alignment horizontal="center" vertical="bottom"/>
    </xf>
    <xf numFmtId="2" fontId="22" borderId="19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4bb40"/>
      <rgbColor rgb="ff222222"/>
      <rgbColor rgb="ffffffff"/>
      <rgbColor rgb="ff333333"/>
      <rgbColor rgb="ffaaaaaa"/>
      <rgbColor rgb="ffa7a7a7"/>
      <rgbColor rgb="ff555555"/>
      <rgbColor rgb="ffd3a758"/>
      <rgbColor rgb="ff467886"/>
      <rgbColor rgb="fff3f3f3"/>
      <rgbColor rgb="ffe97132"/>
      <rgbColor rgb="ff8e8e8e"/>
      <rgbColor rgb="ff0e1111"/>
      <rgbColor rgb="ffcf774f"/>
      <rgbColor rgb="ff9a958e"/>
      <rgbColor rgb="ff89bb6c"/>
      <rgbColor rgb="ff8bb4de"/>
      <rgbColor rgb="ff7abd62"/>
      <rgbColor rgb="ff111111"/>
      <rgbColor rgb="ffadae6c"/>
      <rgbColor rgb="ff696762"/>
      <rgbColor rgb="ff52905a"/>
      <rgbColor rgb="ffd9b164"/>
      <rgbColor rgb="ffd48660"/>
      <rgbColor rgb="ffa6a098"/>
      <rgbColor rgb="ff555959"/>
      <rgbColor rgb="ff2b3039"/>
      <rgbColor rgb="ff96bde2"/>
      <rgbColor rgb="ffd9d9d9"/>
      <rgbColor rgb="ccd38c07"/>
      <rgbColor rgb="ccd44805"/>
      <rgbColor rgb="9e544738"/>
      <rgbColor rgb="b23995d5"/>
      <rgbColor rgb="b2868804"/>
      <rgbColor rgb="b2110d02"/>
      <rgbColor rgb="ccd99923"/>
      <rgbColor rgb="ccd95d22"/>
      <rgbColor rgb="9e6b5c4c"/>
      <rgbColor rgb="b24fa1db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05"/>
          <c:y val="0.005"/>
          <c:w val="0.99"/>
          <c:h val="0.563422"/>
        </c:manualLayout>
      </c:layout>
      <c:pieChart>
        <c:varyColors val="0"/>
        <c:ser>
          <c:idx val="0"/>
          <c:order val="0"/>
          <c:tx>
            <c:v>Weight</c:v>
          </c:tx>
          <c:spPr>
            <a:solidFill>
              <a:srgbClr val="D38C07">
                <a:alpha val="80000"/>
              </a:srgbClr>
            </a:solidFill>
            <a:ln w="12700" cap="flat">
              <a:noFill/>
              <a:miter lim="400000"/>
            </a:ln>
            <a:effectLst/>
          </c:spPr>
          <c:explosion val="1"/>
          <c:dPt>
            <c:idx val="0"/>
            <c:explosion val="1"/>
            <c:spPr>
              <a:solidFill>
                <a:srgbClr val="D38C07">
                  <a:alpha val="80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1"/>
            <c:spPr>
              <a:solidFill>
                <a:srgbClr val="D44906">
                  <a:alpha val="80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1"/>
            <c:spPr>
              <a:solidFill>
                <a:srgbClr val="554838">
                  <a:alpha val="62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1"/>
            <c:spPr>
              <a:solidFill>
                <a:srgbClr val="3995D6">
                  <a:alpha val="70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1"/>
            <c:spPr>
              <a:solidFill>
                <a:srgbClr val="868904">
                  <a:alpha val="70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1"/>
            <c:spPr>
              <a:solidFill>
                <a:srgbClr val="110D03">
                  <a:alpha val="70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1"/>
            <c:spPr>
              <a:solidFill>
                <a:srgbClr val="D99A23">
                  <a:alpha val="80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1"/>
            <c:spPr>
              <a:solidFill>
                <a:srgbClr val="DA5E22">
                  <a:alpha val="80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1"/>
            <c:spPr>
              <a:solidFill>
                <a:srgbClr val="6B5D4C">
                  <a:alpha val="62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Pt>
            <c:idx val="9"/>
            <c:explosion val="1"/>
            <c:spPr>
              <a:solidFill>
                <a:srgbClr val="50A2DB">
                  <a:alpha val="70000"/>
                </a:srgbClr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numFmt formatCode="0.0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</c:dLbl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'PACK WEIGHT CHECKLIST'!$I$27:$I$36</c:f>
              <c:strCache>
                <c:ptCount val="10"/>
                <c:pt idx="0">
                  <c:v>Backpack</c:v>
                </c:pt>
                <c:pt idx="1">
                  <c:v>Shelter</c:v>
                </c:pt>
                <c:pt idx="2">
                  <c:v>Sleep</c:v>
                </c:pt>
                <c:pt idx="3">
                  <c:v>Clothing Packed</c:v>
                </c:pt>
                <c:pt idx="4">
                  <c:v>Kitchen</c:v>
                </c:pt>
                <c:pt idx="5">
                  <c:v>Electronics</c:v>
                </c:pt>
                <c:pt idx="6">
                  <c:v>Toiletries + Med</c:v>
                </c:pt>
                <c:pt idx="7">
                  <c:v>Hydration</c:v>
                </c:pt>
                <c:pt idx="8">
                  <c:v>Clothing Worn</c:v>
                </c:pt>
                <c:pt idx="9">
                  <c:v>Miscellaneous</c:v>
                </c:pt>
              </c:strCache>
            </c:strRef>
          </c:cat>
          <c:val>
            <c:numRef>
              <c:f>'PACK WEIGHT CHECKLIST'!$J$27:$J$36</c:f>
              <c:numCache>
                <c:ptCount val="10"/>
                <c:pt idx="0">
                  <c:v>0.875000</c:v>
                </c:pt>
                <c:pt idx="1">
                  <c:v>0.650000</c:v>
                </c:pt>
                <c:pt idx="2">
                  <c:v>0.812500</c:v>
                </c:pt>
                <c:pt idx="3">
                  <c:v>2.300000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</c:numCache>
            </c:numRef>
          </c:val>
        </c:ser>
        <c:firstSliceAng val="359"/>
      </c:pieChart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486441"/>
          <c:y val="0.628013"/>
          <c:w val="0.909917"/>
          <c:h val="0.37198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2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467884</xdr:colOff>
      <xdr:row>3</xdr:row>
      <xdr:rowOff>66925</xdr:rowOff>
    </xdr:from>
    <xdr:to>
      <xdr:col>10</xdr:col>
      <xdr:colOff>518684</xdr:colOff>
      <xdr:row>22</xdr:row>
      <xdr:rowOff>149775</xdr:rowOff>
    </xdr:to>
    <xdr:graphicFrame>
      <xdr:nvGraphicFramePr>
        <xdr:cNvPr id="2" name="Chart"/>
        <xdr:cNvGraphicFramePr/>
      </xdr:nvGraphicFramePr>
      <xdr:xfrm>
        <a:off x="8151384" y="632075"/>
        <a:ext cx="2768601" cy="480725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ula-equipment.com/product/ultra-circuit/" TargetMode="External"/><Relationship Id="rId2" Type="http://schemas.openxmlformats.org/officeDocument/2006/relationships/hyperlink" Target="https://zpacks.com/products/nero-classic-ultra-backpack" TargetMode="External"/><Relationship Id="rId3" Type="http://schemas.openxmlformats.org/officeDocument/2006/relationships/hyperlink" Target="https://durstongear.com/products/wapta-30-ultralight-backpack" TargetMode="External"/><Relationship Id="rId4" Type="http://schemas.openxmlformats.org/officeDocument/2006/relationships/hyperlink" Target="https://www.amazon.com/dp/B07SM88VVF?ref=ppx_yo2ov_dt_b_fed_asin_title" TargetMode="External"/><Relationship Id="rId5" Type="http://schemas.openxmlformats.org/officeDocument/2006/relationships/hyperlink" Target="https://bikepacking.com/news/zpacks-free-zip-2p-freestanding-tent/" TargetMode="External"/><Relationship Id="rId6" Type="http://schemas.openxmlformats.org/officeDocument/2006/relationships/hyperlink" Target="https://zpacks.com/products/nylo-pro-groundsheet" TargetMode="External"/><Relationship Id="rId7" Type="http://schemas.openxmlformats.org/officeDocument/2006/relationships/hyperlink" Target="https://ultralightoutdoorgear.co.uk/nano-9-inch-stake-single-flange-head/" TargetMode="External"/><Relationship Id="rId8" Type="http://schemas.openxmlformats.org/officeDocument/2006/relationships/hyperlink" Target="https://hilltoppacks.com/products/tent-stake-stuff-sacks-funny-prints?variant=38878721802425" TargetMode="External"/><Relationship Id="rId9" Type="http://schemas.openxmlformats.org/officeDocument/2006/relationships/hyperlink" Target="https://zpacks.com/products/flat-tarp-8-5-x-10-w-12-loops" TargetMode="External"/><Relationship Id="rId10" Type="http://schemas.openxmlformats.org/officeDocument/2006/relationships/hyperlink" Target="http://www.apple.com" TargetMode="External"/><Relationship Id="rId11" Type="http://schemas.openxmlformats.org/officeDocument/2006/relationships/hyperlink" Target="https://www.sixmoondesigns.com/products/gatewood-cape" TargetMode="External"/><Relationship Id="rId12" Type="http://schemas.openxmlformats.org/officeDocument/2006/relationships/hyperlink" Target="https://ouncedesign.cc/adobi.html" TargetMode="External"/><Relationship Id="rId13" Type="http://schemas.openxmlformats.org/officeDocument/2006/relationships/hyperlink" Target="https://ugqoutdoor.com/product/bandit-top-quilt/" TargetMode="External"/><Relationship Id="rId14" Type="http://schemas.openxmlformats.org/officeDocument/2006/relationships/hyperlink" Target="https://enlightenedequipment.com/revelation-sleeping-quilt/" TargetMode="External"/><Relationship Id="rId15" Type="http://schemas.openxmlformats.org/officeDocument/2006/relationships/hyperlink" Target="https://www.amazon.com/Upneargo-Emergency-Lightweight-Waterproof-Activities/dp/B0C77MVC44/ref=sr_1_23?crid=2735ZUTUWSYOD&amp;dib=eyJ2IjoiMSJ9.Q3IO6aXTwV-Te7ZVMfM_ScLIU7VKWWwyNyEnr7QwcSgMYC_-rqWaDH2xkmiPOLkoJeYSvelnNnGQh7rcP0hHSZhVK61Sryw_ulwxz5v6qJkzusDsECarLUNUC11oLTFZ526Z41gRIueRgyM_OU7yp3nsIt_a9q46OmCKXjcocdvoTOh-UsPoS2cb6HgQ3nyez7t9jkVNnUHAblI_oIYQ80TW3OzTH1M-b2i9UsqHo34wE_ZAVGBxkUtRGml2kqpsgSs_ZI57DZH1wBm8IsgGtGbNvTELjg013HaGrKLxeg8.HVPO1kC2ckpDBjAGi1Z-Df_uJKctnMyYRv_mZFgg5ZA&amp;dib_tag=se&amp;keywords=emergency+mummy+bag&amp;qid=1785007811&amp;sprefix=emergency+mummy+bag,aps,220&amp;sr=8-23&amp;th=1" TargetMode="External"/><Relationship Id="rId16" Type="http://schemas.openxmlformats.org/officeDocument/2006/relationships/hyperlink" Target="https://www.pariaoutdoorproducts.com/products/elevate-s-insulated-sleeping-pad" TargetMode="External"/><Relationship Id="rId17" Type="http://schemas.openxmlformats.org/officeDocument/2006/relationships/hyperlink" Target="https://www.amazon.com/Nemo-Switchback-Foam-Sleeping-Regular/dp/B07JZHC4N5/ref=sr_1_1_sspa?crid=EXEJR0513QVG&amp;dib=eyJ2IjoiMSJ9.IbVW_7V1E_VxBrhsamCK4cVryj_TWmg7JbuBOZGvMBEGYvAVWk00adYE0LtknJdpxtd3r040nuqiXkHw2Mdi2ATWhhVefk2HKcvyE-TcvZreomVj-w_y3yUaYAj_d0DIJiDt12L2bUCq4IHe_fxs7qNPc1WXkqIFbXF5yp_kYr7S4eVvGXhsC9vIv3fE4ufnp2P8_MTav9Pa00sl2kBh73uJCuiHkgWWjxXWMBkSxq98u_lc4XRaIA1u894I0E_a9rEW9t53CD9GxptfbtXGreoXD78FBTaVDtAJ8tNBgqA.ZFROTY7bWNxvJzs-vI0oYCOtfcMxr4yJDPmdHXaofXs&amp;dib_tag=se&amp;keywords=nemo+switchback+sleeping+pad&amp;qid=1785153579&amp;sprefix=Nemo+Switchback,aps,221&amp;sr=8-1-spons&amp;sp_csd=d2lkZ2V0TmFtZT1zcF9hdGY&amp;th=1" TargetMode="External"/><Relationship Id="rId18" Type="http://schemas.openxmlformats.org/officeDocument/2006/relationships/hyperlink" Target="https://enlightenedequipment.com/mens-torrid-jacket/" TargetMode="External"/><Relationship Id="rId19" Type="http://schemas.openxmlformats.org/officeDocument/2006/relationships/hyperlink" Target="https://timmermade.com/product/sul-75-down-sweater/" TargetMode="External"/><Relationship Id="rId20" Type="http://schemas.openxmlformats.org/officeDocument/2006/relationships/hyperlink" Target="https://timmermade.com/product/sul-1-1-down-pant/" TargetMode="External"/><Relationship Id="rId21" Type="http://schemas.openxmlformats.org/officeDocument/2006/relationships/hyperlink" Target="https://zpacks.com/products/zpacks-octa-fleece-hoody" TargetMode="External"/><Relationship Id="rId22" Type="http://schemas.openxmlformats.org/officeDocument/2006/relationships/hyperlink" Target="https://outdoorvitals.com/products/nebo-windbreaker?variant=40369537941565" TargetMode="External"/><Relationship Id="rId23" Type="http://schemas.openxmlformats.org/officeDocument/2006/relationships/hyperlink" Target="https://www.montbell.com/us/en/products/detail/2305132" TargetMode="External"/><Relationship Id="rId24" Type="http://schemas.openxmlformats.org/officeDocument/2006/relationships/hyperlink" Target="https://zpacks.com/products/possumdown-socks" TargetMode="External"/><Relationship Id="rId25" Type="http://schemas.openxmlformats.org/officeDocument/2006/relationships/hyperlink" Target="https://zpacks.com/products/zpacks-octa-fleece-camp-pants" TargetMode="External"/><Relationship Id="rId26" Type="http://schemas.openxmlformats.org/officeDocument/2006/relationships/hyperlink" Target="https://zpacks.com/products/zpacks-octa-fleece-neck-gaiter" TargetMode="External"/><Relationship Id="rId27" Type="http://schemas.openxmlformats.org/officeDocument/2006/relationships/hyperlink" Target="https://enlightenedequipment.com/visp-rain-jacket/" TargetMode="External"/><Relationship Id="rId28" Type="http://schemas.openxmlformats.org/officeDocument/2006/relationships/hyperlink" Target="https://zpacks.com/products/vertice-rain-pants" TargetMode="External"/><Relationship Id="rId29" Type="http://schemas.openxmlformats.org/officeDocument/2006/relationships/hyperlink" Target="https://goosefeetgear.com/products/down-balaclava/" TargetMode="External"/><Relationship Id="rId30" Type="http://schemas.openxmlformats.org/officeDocument/2006/relationships/hyperlink" Target="https://goosefeetgear.com/products/down-socks/" TargetMode="External"/><Relationship Id="rId31" Type="http://schemas.openxmlformats.org/officeDocument/2006/relationships/hyperlink" Target="https://www.amazon.com/aZengear-Emergency-Survival-Poncho-Waterproof-Hands-Free-Hood/dp/B0C2WVZRX4/ref=sxin_19_pa_sp_search_thematic_sspa?content-id=amzn1.sym.83f5ab61-f5a2-46fe-8ca0-d4cbfcb9bc51:amzn1.sym.83f5ab61-f5a2-46fe-8ca0-d4cbfcb9bc51&amp;crid=1J7394XB0H2AN&amp;cv_ct_cx=emergency+tarp&amp;keywords=emergency+tarp&amp;pd_rd_i=B0C2WVZRX4&amp;pd_rd_r=c5efc96a-ea85-482a-8890-656aee742777&amp;pd_rd_w=GeGij&amp;pd_rd_wg=qzHYR&amp;pf_rd_p=83f5ab61-f5a2-46fe-8ca0-d4cbfcb9bc51&amp;pf_rd_r=DKK9JXBBDSWEF1MTR9YD&amp;qid=1785214917&amp;sbo=RZvfv//HxDF+O5021pAnSA==&amp;sprefix=emergency+tarp,aps,230&amp;sr=1-4-e169343e-09af-4d41-85b1-8335fe8f32d0-spons&amp;aref=qZ52xld9cG&amp;sp_csd=d2lkZ2V0TmFtZT1zcF9zZWFyY2hfdGhlbWF0aWM&amp;th=1" TargetMode="External"/><Relationship Id="rId32" Type="http://schemas.openxmlformats.org/officeDocument/2006/relationships/hyperlink" Target="https://firemaplegear.com/products/petrel-ultralight-pot-600ml" TargetMode="External"/><Relationship Id="rId33" Type="http://schemas.openxmlformats.org/officeDocument/2006/relationships/hyperlink" Target="https://www.amazon.com/TOAKS-Titanium-Long-Handle-Spoon/dp/B00EZHML88/ref=sr_1_9?crid=2WIHDBQV85IZP&amp;dib=eyJ2IjoiMSJ9.C6UtzoAqOcZL9Gy-SezNmIn5B6pVzeH73CyVknT1etx41MPHHN6v5XCYTtr2Wt8lcpXrGQSNMeHgEMkpIxkafhDh4USfJg-xq2FnBFGuOR34eQv3-5m-Hh1X80wPaxrs0VqfjivgR-vy1nVMP8bY--A675_zuFVykb0kvhEy7KF4aVKwFvlzRhiPQwPlAQbQ2azN75md4FHrFQ90Yv8QcycMCJKMk5KZOqIqrYw94TmNz-y3F_S3O75L4cyMbuNEWaIXzBHTKXVcpopLYpMZiRxknHtycUaYGFxZ6Fil9OQ.Ty34inpeGZuN5VhUgMS9AM7FG5zwOFpZXWj1Hha_cSA&amp;dib_tag=se&amp;keywords=titanium+spoon+long+handle&amp;qid=1785154594&amp;sprefix=Titanium+Spoon,aps,215&amp;sr=8-9" TargetMode="External"/><Relationship Id="rId34" Type="http://schemas.openxmlformats.org/officeDocument/2006/relationships/hyperlink" Target="https://www.amazon.com/MSR-PocketRocket-Ultralight-Backpacking-Camping/dp/B07L5S65HR/ref=sr_1_1?crid=KO8UTVMCBL1T&amp;dib=eyJ2IjoiMSJ9.smivh_MZimh9yq05glIgDTtMZUeNvMMq5y-8ICBc5TuRcxVggpo0Ob20gbWldDO1xz8bJa6BxfJLquQG51AZh8IK24eko-YswfDFqvVab81CiqVmQ-Gat6xiEpDrDmIQbNiSzXpkuyGlu0xu9OSLS3VlE9gxQgHczvcw82EeDMuA7W38Q-mgvc6mNugA3bKI0uPuanlweTx6pJuUF2t7z6qGCjeP5N4qoYIXiAn8Kq8.i1esZlV4RRILBXfklTE2OaZtTn4NvgIqcexrJzjX33w&amp;dib_tag=se&amp;keywords=MSR+PocketRocket+Deluxe&amp;qid=1785154688&amp;sprefix=msr+pocketrocket+deluxe,aps,237&amp;sr=8-1&amp;ufe=app_do:amzn1.fos.9fe8cbfa-bf43-43d1-a707-3f4e65a4b666" TargetMode="External"/><Relationship Id="rId35" Type="http://schemas.openxmlformats.org/officeDocument/2006/relationships/hyperlink" Target="https://adotecgear.com/products/ultralight-bear-locker-grizzly-bear-resistant-bag" TargetMode="External"/><Relationship Id="rId36" Type="http://schemas.openxmlformats.org/officeDocument/2006/relationships/hyperlink" Target="https://wild-ideas.net/weekender/" TargetMode="External"/><Relationship Id="rId37" Type="http://schemas.openxmlformats.org/officeDocument/2006/relationships/hyperlink" Target="https://www.amazon.com/dp/B0DQD35SQ4?ref_=ppx_hzsearch_conn_dt_b_fed_asin_title_1&amp;th=1" TargetMode="External"/><Relationship Id="rId38" Type="http://schemas.openxmlformats.org/officeDocument/2006/relationships/hyperlink" Target="https://www.amazon.com/dp/B0BJQ7F16T?ref_=ppx_hzsearch_conn_dt_b_fed_asin_title_5&amp;th=1" TargetMode="External"/><Relationship Id="rId39" Type="http://schemas.openxmlformats.org/officeDocument/2006/relationships/hyperlink" Target="https://www.bhphotovideo.com/c/product/803504142-USE/fujifilm_16652893_x_t4_mirrorless_camera_with.html" TargetMode="External"/><Relationship Id="rId40" Type="http://schemas.openxmlformats.org/officeDocument/2006/relationships/hyperlink" Target="https://www.amazon.com/Nitecore-NU25-MCT-Rechargeble-Temperatures/dp/B0DY2SW4CH/ref=sr_1_1_sspa?crid=26C96LK5X1W9U&amp;dib=eyJ2IjoiMSJ9.IlsyJC91a6rPyhXxrNEiyRr24L3e8JUhjfRj4HbN0BygZlTmz1C-voHq5-tPgpgwox3lSkMTYi7j4k6xMSSxr7JbGTTCnYAyqMv1u1VJIc1jVGhAj9xUrZk8dh2lbEC5mp5UUakM1XP9h0w3AHCo1Qk3IbKWH5_MIuuMA0eWKxzZ9oeKCxTVQJ3OA-8GCdH--3RY1tjY03QZdYuPVNmUvAb_m99PwB8tQGQ8Um093DthPlkUnwpAsc198SI890MqlWlPqCmpJmfhCFWVC2yavJ4Cny0sSW9WDHs_A4xmnlc.TzCpMIeCx1HM40Zhp83vRxFAd-hLxdrapwu26PajNkg&amp;dib_tag=se&amp;keywords=nitecore+nu25&amp;qid=1785155767&amp;sprefix=Nitecore+NU25,aps,212&amp;sr=8-1-spons&amp;sp_csd=d2lkZ2V0TmFtZT1zcF9hdGY&amp;th=1" TargetMode="External"/><Relationship Id="rId41" Type="http://schemas.openxmlformats.org/officeDocument/2006/relationships/hyperlink" Target="https://www.amazon.com/gp/product/B0GG9LSHLT/ref=ox_sc_saved_image_6?smid=A7QK4ECDOSTMU&amp;psc=1" TargetMode="External"/><Relationship Id="rId42" Type="http://schemas.openxmlformats.org/officeDocument/2006/relationships/hyperlink" Target="https://hilltoppacks.com/products/ultralight-ditty-bag?variant=46398823563521" TargetMode="External"/><Relationship Id="rId43" Type="http://schemas.openxmlformats.org/officeDocument/2006/relationships/hyperlink" Target="https://rockytalkie.com/products/mountain-radio?msclkid=0ae376c34a7d156fa6f01ca5ea91efe9" TargetMode="External"/><Relationship Id="rId44" Type="http://schemas.openxmlformats.org/officeDocument/2006/relationships/hyperlink" Target="https://www.amazon.com/dp/B0FV89QRTH?ref_=ppx_hzod_title_dt_b_fed_asin_title_0_1&amp;th=1" TargetMode="External"/><Relationship Id="rId45" Type="http://schemas.openxmlformats.org/officeDocument/2006/relationships/hyperlink" Target="https://www.amazon.com/dp/B07R586J37?ref=nb_sb_ss_w_as-reorder_k0_1_27&amp;amp=&amp;crid=2H1F004OXPFF8&amp;sprefix=govee+bluetooth+thermometer&amp;th=1" TargetMode="External"/><Relationship Id="rId46" Type="http://schemas.openxmlformats.org/officeDocument/2006/relationships/hyperlink" Target="https://www.amazon.com/Cnoc-Outdoors-ThruBottle-Lightweight-Compatible/dp/B0GFQ2D2MF/ref=sr_1_1?crid=1MG996EAFCSQD&amp;dib=eyJ2IjoiMSJ9.V5wXS8EI72A8uc2GT13uVyNp2gRn2F3skVOm6zt0JhxYLN3d_TVzV_q6g8eJDUwYCl7SrhYXDcR5VK3Jjk0RdFhps5J8GBYSuskvDNr6KyP8mKhppQWJQmRuEl_13rblOTL2KJi6jzjzcfYxsLfCtuw4YOT9alik43JFduJQAnrKc99Efzypw60_DwQ5BYmCB-X1OFvbNdJaO9erasAuoyAfco564r5UfB54FZj6aWW66abAnbVNiKhP72FQP0CR9yHSGLlpfZKH20T3e51uHs0HXWWKhSVk52xt9BTfFUg.YUkUzwwSNVs_MZenBwQvQZF1Od8eHI8n-Heszc7CMWo&amp;dib_tag=se&amp;keywords=cnoc+water+bottle+1l&amp;qid=1785158489&amp;sprefix=CNOC+water+bottle+1L,aps,209&amp;sr=8-1" TargetMode="External"/><Relationship Id="rId47" Type="http://schemas.openxmlformats.org/officeDocument/2006/relationships/hyperlink" Target="https://www.amazon.com/Cnoc-Outdoors-Container-Thread-Orange/dp/B07QBQ894L/ref=sr_1_1?crid=SAEDVTA20CY1&amp;dib=eyJ2IjoiMSJ9.0gD-id_7gG8iOpd_a_gyHbOp_r3GdN-VU5CdNV4PsGK6TQJANX-6WDRXy2u5HV6pqGHDZ_F2O57EQhPfsRngRBisJq3KEBymUEMifVurt6XE2nW6Zvce7YhGlHvau1M0Q9OSd_vIaTZZlFRTSAxD2lJ1Zcf5wrtmWF-l42RgUGkewcpgCMGvYt8Vj9rcPpWtCYOhDVq0xfQw5vCP-nHokByDDlQpR0_AsDpdvzTIFVXuj5jT4AU6Loy9PDJszkOU47K38x98sbASCRWyZQQu4lvCZ4dayVFksQuAXSIA1y8.CxH3FaBIo4EMc0wE0zTedyKWIY7_hcMhdiGpkOXsS5c&amp;dib_tag=se&amp;keywords=cnoc+vecto+2l&amp;qid=1785158637&amp;sprefix=CNOC+Vecto+2L,aps,222&amp;sr=8-1&amp;th=1" TargetMode="External"/><Relationship Id="rId48" Type="http://schemas.openxmlformats.org/officeDocument/2006/relationships/hyperlink" Target="https://www.amazon.com/Platypus-Quickdraw-Ultralight-Backpacking-Filter/dp/B0CL81RLMH/ref=sr_1_1?crid=3P0RHG0RSYKTZ&amp;dib=eyJ2IjoiMSJ9.UILoKmtyh3ORInBEQUBs-TW-GPIaL9ACeHV4LqyaN2AP3hshAV2qteAYUmdc5w5YDCRY0tmG0CX6H35l29Iti8vgngo0a-MeObYCfvXo3SIdM2VWCyo_tapbP3Y1VNn1lsldGcyjvIztYh1MuS7MAPP559dXRV9ZvFJ4mES1GguVgN0iFp44czFcM-muNN-011Ygr6cdDMmQzKl2ALRhIO3gU__19q4HZEg-PV422wo4f5ZyUOysrnHatM9KL4fDmuBGbEgzT2M3jX-KTaLBgBET4JU7Sk8KswKyxfbTJZE.lkH3pRucTV8Ifl6JSlj0ArrZektfvLvmBYmZnRaQ_NE&amp;dib_tag=se&amp;keywords=platypus+quickdraw&amp;qid=1785158683&amp;sprefix=Platypus+Quickdraw,aps,215&amp;sr=8-1&amp;th=1" TargetMode="External"/><Relationship Id="rId49" Type="http://schemas.openxmlformats.org/officeDocument/2006/relationships/hyperlink" Target="https://zpacks.com/products/the-mirage-merino-sun-hoody" TargetMode="External"/><Relationship Id="rId50" Type="http://schemas.openxmlformats.org/officeDocument/2006/relationships/hyperlink" Target="https://www.amazon.com/Pudolla-Running-Athletic-Black-XX-Large/dp/B08BNYZ88Y/ref=sr_1_3_sspa?crid=JP7GFOQK95HJ&amp;dib=eyJ2IjoiMSJ9.KSLYRukBEy72fkz1uvKIIOJYr4R4_jguJk-KfFK8tlS9sjIhNE7wnn9TmajDUw7I6xHT-TIEeElRUoeGL4gtb-KnREP6KcpzT5JLLfbL0H36_l00I0Skm73DnoKG8MvsLdPZ4jMkzjRl0w9xh0EaphWhorySsuURqVEkEquGAUBJozLtilUaxQlD08wDseImorBJrqIaQx82SgsRwjJD3M-H9IbNc7Ghcetkju_ARSIdOWvYEVMquNlJkp4wg24qAAQqDCUL0RrujI4iSn0H_TVpVbnVexTzQcqgltuKTC8.veTGu6MPt3WOMj-AW6ECiRx5E5imw-nuZFInniHXx1I&amp;dib_tag=se&amp;keywords=pudolla+men's+running+shorts&amp;qid=1785159223&amp;sprefix=Pudolla+Men%E2%80%99s+Running+Shorts,aps,219&amp;sr=8-3-spons&amp;sp_csd=d2lkZ2V0TmFtZT1zcF9hdGY&amp;th=1&amp;psc=1" TargetMode="External"/><Relationship Id="rId51" Type="http://schemas.openxmlformats.org/officeDocument/2006/relationships/hyperlink" Target="https://www.amazon.com/gp/product/B0BKW783KG/ref=ox_sc_saved_image_5?smid=A3JG248AD2QH4W&amp;th=1&amp;psc=1" TargetMode="External"/><Relationship Id="rId52" Type="http://schemas.openxmlformats.org/officeDocument/2006/relationships/hyperlink" Target="https://www.amazon.com/Topo-Athletic-Lightweight-Comfortable-Running/dp/B0DTF7TNZF/ref=sr_1_1_sspa?crid=33UZUT0L1NKOZ&amp;dib=eyJ2IjoiMSJ9.-7ZrZqbZtNxrgD62CPZkmZ3E1Id2KmyPr0fKK9pQtyWEorNCqlPzpJ_e_Tpt9YkymkwH86nSlqCYEFL4JJ2pLoBPV6mFNwwD3Cnsknud8kbg_l9pNfxIR-FXSFDs9lXx_iv4QXpUBFuCed09fvsvWIk9DFX2tMfZF0mVSJ3LWZ6hAZsylt57x4CLa_GgHYLvSkBei9R3WY8KHMvSKtURbAiBrk28nBPCWeYMOMWOa5WYfmw4enLkBPG-Uk6ZT-VxcNM4NGzOudqo4FS7IFhH4XQz73nRSAqxfNHm9a2vtzQ.hMBrNFEKXFAcymVErXh37Zc-Vk3_5pXmAfcNJXd-M0w&amp;dib_tag=se&amp;keywords=Topo+Mtn+4+size+12&amp;qid=1785159331&amp;sprefix=topo+mtn+4+size+12,aps,194&amp;sr=8-1-spons&amp;sp_csd=d2lkZ2V0TmFtZT1zcF9hdGY&amp;th=1&amp;psc=1" TargetMode="External"/><Relationship Id="rId53" Type="http://schemas.openxmlformats.org/officeDocument/2006/relationships/hyperlink" Target="https://bedrocksandals.com/products/cairn-evo-3d-pro?variant=31278679064649" TargetMode="External"/><Relationship Id="rId54" Type="http://schemas.openxmlformats.org/officeDocument/2006/relationships/hyperlink" Target="https://okhealing.shop/products/carbon-trekking-poles-orange-gradient-folding-and-ultralight?variant=47624552972509" TargetMode="External"/><Relationship Id="rId55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tabColor rgb="fff4bb40"/>
  </sheetPr>
  <dimension ref="A1:L111"/>
  <sheetViews>
    <sheetView workbookViewId="0" showGridLines="0" defaultGridColor="1"/>
  </sheetViews>
  <sheetFormatPr defaultColWidth="8.83333" defaultRowHeight="15" customHeight="1" outlineLevelRow="0" outlineLevelCol="0"/>
  <cols>
    <col min="1" max="1" width="3.67188" style="1" customWidth="1"/>
    <col min="2" max="2" width="23.5" style="1" customWidth="1"/>
    <col min="3" max="3" width="34" style="1" customWidth="1"/>
    <col min="4" max="4" width="9.42969" style="1" customWidth="1"/>
    <col min="5" max="5" width="11.5" style="1" customWidth="1"/>
    <col min="6" max="6" width="9.22656" style="1" customWidth="1"/>
    <col min="7" max="7" width="7.97656" style="1" customWidth="1"/>
    <col min="8" max="8" width="1.5" style="1" customWidth="1"/>
    <col min="9" max="9" width="24.5" style="1" customWidth="1"/>
    <col min="10" max="10" width="11.1719" style="1" customWidth="1"/>
    <col min="11" max="11" width="9" style="1" customWidth="1"/>
    <col min="12" max="12" width="1.72656" style="1" customWidth="1"/>
    <col min="13" max="16384" width="8.85156" style="1" customWidth="1"/>
  </cols>
  <sheetData>
    <row r="1" ht="12.65" customHeight="1">
      <c r="A1" s="2"/>
      <c r="B1" s="3"/>
      <c r="C1" s="4"/>
      <c r="D1" s="4"/>
      <c r="E1" s="4"/>
      <c r="F1" s="4"/>
      <c r="G1" s="5"/>
      <c r="H1" s="6"/>
      <c r="I1" s="6"/>
      <c r="J1" s="7"/>
      <c r="K1" s="8"/>
      <c r="L1" s="9"/>
    </row>
    <row r="2" ht="13.15" customHeight="1">
      <c r="A2" s="10"/>
      <c r="B2" t="s" s="11">
        <v>0</v>
      </c>
      <c r="C2" s="12"/>
      <c r="D2" s="12"/>
      <c r="E2" s="12"/>
      <c r="F2" s="4"/>
      <c r="G2" s="8"/>
      <c r="H2" s="13"/>
      <c r="I2" s="13"/>
      <c r="J2" s="10"/>
      <c r="K2" s="10"/>
      <c r="L2" s="14"/>
    </row>
    <row r="3" ht="18.7" customHeight="1">
      <c r="A3" t="s" s="15">
        <v>1</v>
      </c>
      <c r="B3" t="s" s="16">
        <v>2</v>
      </c>
      <c r="C3" t="s" s="17">
        <v>3</v>
      </c>
      <c r="D3" t="s" s="18">
        <v>4</v>
      </c>
      <c r="E3" t="s" s="18">
        <v>5</v>
      </c>
      <c r="F3" t="s" s="19">
        <v>6</v>
      </c>
      <c r="G3" t="s" s="20">
        <v>7</v>
      </c>
      <c r="H3" s="21"/>
      <c r="I3" s="22"/>
      <c r="J3" s="23"/>
      <c r="K3" s="23"/>
      <c r="L3" s="24"/>
    </row>
    <row r="4" ht="19.65" customHeight="1">
      <c r="A4" t="b" s="25">
        <v>0</v>
      </c>
      <c r="B4" t="s" s="26">
        <v>2</v>
      </c>
      <c r="C4" t="s" s="27">
        <v>8</v>
      </c>
      <c r="D4" s="28">
        <v>40.8</v>
      </c>
      <c r="E4" s="28" cm="1">
        <f t="array" ref="E4">IF(A4,D4*G4,0)</f>
        <v>0</v>
      </c>
      <c r="F4" t="s" s="29">
        <v>9</v>
      </c>
      <c r="G4" s="30">
        <v>1</v>
      </c>
      <c r="H4" s="31"/>
      <c r="I4" s="32"/>
      <c r="J4" s="2"/>
      <c r="K4" s="2"/>
      <c r="L4" s="33"/>
    </row>
    <row r="5" ht="19.65" customHeight="1">
      <c r="A5" t="b" s="25">
        <v>1</v>
      </c>
      <c r="B5" t="s" s="34">
        <v>2</v>
      </c>
      <c r="C5" t="s" s="35">
        <v>10</v>
      </c>
      <c r="D5" s="36">
        <v>14</v>
      </c>
      <c r="E5" s="37" cm="1">
        <f t="array" ref="E5">IF(A5,D5*G5,0)</f>
        <v>14</v>
      </c>
      <c r="F5" t="s" s="38">
        <v>9</v>
      </c>
      <c r="G5" s="39">
        <v>1</v>
      </c>
      <c r="H5" s="31"/>
      <c r="I5" s="32"/>
      <c r="J5" s="2"/>
      <c r="K5" s="2"/>
      <c r="L5" s="33"/>
    </row>
    <row r="6" ht="19.65" customHeight="1">
      <c r="A6" t="b" s="25">
        <v>0</v>
      </c>
      <c r="B6" t="s" s="40">
        <v>2</v>
      </c>
      <c r="C6" t="s" s="41">
        <v>11</v>
      </c>
      <c r="D6" s="36">
        <v>18.3</v>
      </c>
      <c r="E6" s="37" cm="1">
        <f t="array" ref="E6">IF(A6,D6*G6,0)</f>
        <v>0</v>
      </c>
      <c r="F6" t="s" s="38">
        <v>9</v>
      </c>
      <c r="G6" s="39">
        <v>1</v>
      </c>
      <c r="H6" s="31"/>
      <c r="I6" s="32"/>
      <c r="J6" s="2"/>
      <c r="K6" s="2"/>
      <c r="L6" s="33"/>
    </row>
    <row r="7" ht="19.65" customHeight="1">
      <c r="A7" t="b" s="25">
        <v>0</v>
      </c>
      <c r="B7" t="s" s="42">
        <v>12</v>
      </c>
      <c r="C7" t="s" s="43">
        <v>13</v>
      </c>
      <c r="D7" s="36">
        <v>1.7</v>
      </c>
      <c r="E7" s="44" cm="1">
        <f t="array" ref="E7">IF(A7,D7*G7,0)</f>
        <v>0</v>
      </c>
      <c r="F7" t="s" s="38">
        <v>9</v>
      </c>
      <c r="G7" s="45">
        <v>1</v>
      </c>
      <c r="H7" s="31"/>
      <c r="I7" s="32"/>
      <c r="J7" s="2"/>
      <c r="K7" s="2"/>
      <c r="L7" s="33"/>
    </row>
    <row r="8" ht="18.85" customHeight="1">
      <c r="A8" s="46"/>
      <c r="B8" s="47"/>
      <c r="C8" s="48"/>
      <c r="D8" t="s" s="49">
        <v>14</v>
      </c>
      <c r="E8" s="50" cm="1">
        <f t="array" ref="E8">SUM(E4:E7/16)</f>
        <v>0.875</v>
      </c>
      <c r="F8" t="s" s="51">
        <v>15</v>
      </c>
      <c r="G8" s="52"/>
      <c r="H8" s="31"/>
      <c r="I8" s="32"/>
      <c r="J8" s="2"/>
      <c r="K8" s="2"/>
      <c r="L8" s="33"/>
    </row>
    <row r="9" ht="20.1" customHeight="1">
      <c r="A9" t="s" s="53">
        <v>1</v>
      </c>
      <c r="B9" t="s" s="54">
        <v>16</v>
      </c>
      <c r="C9" t="s" s="55">
        <v>17</v>
      </c>
      <c r="D9" t="s" s="56">
        <v>4</v>
      </c>
      <c r="E9" t="s" s="56">
        <v>5</v>
      </c>
      <c r="F9" t="s" s="56">
        <v>6</v>
      </c>
      <c r="G9" t="s" s="57">
        <v>7</v>
      </c>
      <c r="H9" s="58"/>
      <c r="I9" s="59"/>
      <c r="J9" s="60"/>
      <c r="K9" s="60"/>
      <c r="L9" s="61"/>
    </row>
    <row r="10" ht="19.65" customHeight="1">
      <c r="A10" t="b" s="25">
        <v>0</v>
      </c>
      <c r="B10" t="s" s="26">
        <v>18</v>
      </c>
      <c r="C10" t="s" s="27">
        <v>19</v>
      </c>
      <c r="D10" s="28">
        <v>36.8</v>
      </c>
      <c r="E10" s="62" cm="1">
        <f t="array" ref="E10">IF(A10,D10*G10,0)</f>
        <v>0</v>
      </c>
      <c r="F10" t="s" s="29">
        <v>9</v>
      </c>
      <c r="G10" s="30">
        <v>1</v>
      </c>
      <c r="H10" s="31"/>
      <c r="I10" s="32"/>
      <c r="J10" s="2"/>
      <c r="K10" s="2"/>
      <c r="L10" s="33"/>
    </row>
    <row r="11" ht="19.65" customHeight="1">
      <c r="A11" t="b" s="25">
        <v>1</v>
      </c>
      <c r="B11" t="s" s="63">
        <v>20</v>
      </c>
      <c r="C11" t="s" s="41">
        <v>21</v>
      </c>
      <c r="D11" s="64">
        <v>4</v>
      </c>
      <c r="E11" s="65" cm="1">
        <f t="array" ref="E11">IF(A11,D11*G11,0)</f>
        <v>4</v>
      </c>
      <c r="F11" t="s" s="38">
        <v>9</v>
      </c>
      <c r="G11" s="39">
        <v>1</v>
      </c>
      <c r="H11" s="31"/>
      <c r="I11" s="32"/>
      <c r="J11" s="2"/>
      <c r="K11" s="2"/>
      <c r="L11" s="33"/>
    </row>
    <row r="12" ht="19.65" customHeight="1">
      <c r="A12" t="b" s="25">
        <v>0</v>
      </c>
      <c r="B12" t="s" s="26">
        <v>22</v>
      </c>
      <c r="C12" t="s" s="27">
        <v>23</v>
      </c>
      <c r="D12" s="66">
        <v>0.6</v>
      </c>
      <c r="E12" s="62" cm="1">
        <f t="array" ref="E12">IF(A12,D12*G12,0)</f>
        <v>0</v>
      </c>
      <c r="F12" t="s" s="29">
        <v>9</v>
      </c>
      <c r="G12" s="30">
        <v>4</v>
      </c>
      <c r="H12" s="31"/>
      <c r="I12" s="32"/>
      <c r="J12" s="2"/>
      <c r="K12" s="2"/>
      <c r="L12" s="33"/>
    </row>
    <row r="13" ht="19.65" customHeight="1">
      <c r="A13" t="b" s="25">
        <v>1</v>
      </c>
      <c r="B13" t="s" s="63">
        <v>22</v>
      </c>
      <c r="C13" t="s" s="41">
        <v>24</v>
      </c>
      <c r="D13" s="67">
        <v>0.1</v>
      </c>
      <c r="E13" s="65" cm="1">
        <f t="array" ref="E13">IF(A13,D13*G13,0)</f>
        <v>0.6</v>
      </c>
      <c r="F13" t="s" s="38">
        <v>9</v>
      </c>
      <c r="G13" s="39">
        <v>6</v>
      </c>
      <c r="H13" s="31"/>
      <c r="I13" s="32"/>
      <c r="J13" s="2"/>
      <c r="K13" s="2"/>
      <c r="L13" s="33"/>
    </row>
    <row r="14" ht="19.65" customHeight="1">
      <c r="A14" t="b" s="25">
        <v>0</v>
      </c>
      <c r="B14" t="s" s="68">
        <v>25</v>
      </c>
      <c r="C14" t="s" s="69">
        <v>26</v>
      </c>
      <c r="D14" s="70">
        <v>0.31</v>
      </c>
      <c r="E14" s="62" cm="1">
        <f t="array" ref="E14">IF(A14,D14*G14,0)</f>
        <v>0</v>
      </c>
      <c r="F14" t="s" s="29">
        <v>9</v>
      </c>
      <c r="G14" s="30">
        <v>1</v>
      </c>
      <c r="H14" s="31"/>
      <c r="I14" s="32"/>
      <c r="J14" s="2"/>
      <c r="K14" s="2"/>
      <c r="L14" s="33"/>
    </row>
    <row r="15" ht="19.65" customHeight="1">
      <c r="A15" t="b" s="71">
        <v>0</v>
      </c>
      <c r="B15" t="s" s="72">
        <v>27</v>
      </c>
      <c r="C15" t="s" s="73">
        <v>28</v>
      </c>
      <c r="D15" s="74">
        <v>16</v>
      </c>
      <c r="E15" s="65" cm="1">
        <f t="array" ref="E15">IF(A15,D15*G15,0)</f>
        <v>0</v>
      </c>
      <c r="F15" t="s" s="38">
        <v>9</v>
      </c>
      <c r="G15" s="39">
        <v>1</v>
      </c>
      <c r="H15" s="31"/>
      <c r="I15" s="32"/>
      <c r="J15" s="32"/>
      <c r="K15" s="75"/>
      <c r="L15" s="76"/>
    </row>
    <row r="16" ht="19.65" customHeight="1">
      <c r="A16" t="b" s="25">
        <v>0</v>
      </c>
      <c r="B16" t="s" s="77">
        <v>29</v>
      </c>
      <c r="C16" t="s" s="78">
        <v>30</v>
      </c>
      <c r="D16" s="79">
        <v>6.4</v>
      </c>
      <c r="E16" s="37" cm="1">
        <f t="array" ref="E16">IF(A16,D16*G16,0)</f>
        <v>0</v>
      </c>
      <c r="F16" t="s" s="38">
        <v>9</v>
      </c>
      <c r="G16" s="39">
        <v>1</v>
      </c>
      <c r="H16" s="31"/>
      <c r="I16" s="32"/>
      <c r="J16" s="2"/>
      <c r="K16" s="2"/>
      <c r="L16" s="33"/>
    </row>
    <row r="17" ht="19.65" customHeight="1">
      <c r="A17" t="b" s="25">
        <v>0</v>
      </c>
      <c r="B17" t="s" s="42">
        <v>31</v>
      </c>
      <c r="C17" t="s" s="80">
        <v>32</v>
      </c>
      <c r="D17" s="81">
        <v>4.800000000000001</v>
      </c>
      <c r="E17" s="37" cm="1">
        <f t="array" ref="E17">IF(A17,D17*G17,0)</f>
        <v>0</v>
      </c>
      <c r="F17" t="s" s="38">
        <v>9</v>
      </c>
      <c r="G17" s="39">
        <v>1</v>
      </c>
      <c r="H17" s="31"/>
      <c r="I17" s="32"/>
      <c r="J17" s="2"/>
      <c r="K17" s="2"/>
      <c r="L17" s="33"/>
    </row>
    <row r="18" ht="19.65" customHeight="1">
      <c r="A18" t="b" s="25">
        <v>0</v>
      </c>
      <c r="B18" t="s" s="63">
        <v>31</v>
      </c>
      <c r="C18" t="s" s="41">
        <v>33</v>
      </c>
      <c r="D18" s="36">
        <v>11</v>
      </c>
      <c r="E18" s="37" cm="1">
        <f t="array" ref="E18">IF(A18,D18*G18,0)</f>
        <v>0</v>
      </c>
      <c r="F18" t="s" s="82">
        <v>9</v>
      </c>
      <c r="G18" s="39">
        <v>1</v>
      </c>
      <c r="H18" s="31"/>
      <c r="I18" s="32"/>
      <c r="J18" s="2"/>
      <c r="K18" s="2"/>
      <c r="L18" s="33"/>
    </row>
    <row r="19" ht="19.65" customHeight="1">
      <c r="A19" t="b" s="25">
        <v>1</v>
      </c>
      <c r="B19" t="s" s="63">
        <v>31</v>
      </c>
      <c r="C19" t="s" s="41">
        <v>34</v>
      </c>
      <c r="D19" s="36">
        <v>5.800000000000001</v>
      </c>
      <c r="E19" s="44" cm="1">
        <f t="array" ref="E19">IF(A19,D19*G19,0)</f>
        <v>5.8</v>
      </c>
      <c r="F19" t="s" s="83">
        <v>9</v>
      </c>
      <c r="G19" s="45">
        <v>1</v>
      </c>
      <c r="H19" s="31"/>
      <c r="I19" s="32"/>
      <c r="J19" s="2"/>
      <c r="K19" s="2"/>
      <c r="L19" s="33"/>
    </row>
    <row r="20" ht="18.85" customHeight="1">
      <c r="A20" s="46"/>
      <c r="B20" s="47"/>
      <c r="C20" s="48"/>
      <c r="D20" t="s" s="49">
        <v>14</v>
      </c>
      <c r="E20" s="50" cm="1">
        <f t="array" ref="E20">SUM(E10:E19/16)</f>
        <v>0.65</v>
      </c>
      <c r="F20" t="s" s="84">
        <v>15</v>
      </c>
      <c r="G20" s="52"/>
      <c r="H20" s="31"/>
      <c r="I20" s="32"/>
      <c r="J20" s="2"/>
      <c r="K20" s="2"/>
      <c r="L20" s="33"/>
    </row>
    <row r="21" ht="19.45" customHeight="1">
      <c r="A21" t="s" s="85">
        <v>1</v>
      </c>
      <c r="B21" t="s" s="86">
        <v>35</v>
      </c>
      <c r="C21" t="s" s="87">
        <v>3</v>
      </c>
      <c r="D21" t="s" s="88">
        <v>4</v>
      </c>
      <c r="E21" t="s" s="88">
        <v>5</v>
      </c>
      <c r="F21" t="s" s="88">
        <v>6</v>
      </c>
      <c r="G21" t="s" s="89">
        <v>7</v>
      </c>
      <c r="H21" s="58"/>
      <c r="I21" s="59"/>
      <c r="J21" s="60"/>
      <c r="K21" s="60"/>
      <c r="L21" s="61"/>
    </row>
    <row r="22" ht="19.65" customHeight="1">
      <c r="A22" t="b" s="25">
        <v>0</v>
      </c>
      <c r="B22" t="s" s="90">
        <v>36</v>
      </c>
      <c r="C22" t="s" s="27">
        <v>37</v>
      </c>
      <c r="D22" s="28">
        <v>26</v>
      </c>
      <c r="E22" s="62" cm="1">
        <f t="array" ref="E22">IF(A22,D22*G22,0)</f>
        <v>0</v>
      </c>
      <c r="F22" t="s" s="91">
        <v>9</v>
      </c>
      <c r="G22" s="30">
        <v>1</v>
      </c>
      <c r="H22" s="31"/>
      <c r="I22" s="32"/>
      <c r="J22" s="2"/>
      <c r="K22" s="2"/>
      <c r="L22" s="33"/>
    </row>
    <row r="23" ht="19.65" customHeight="1">
      <c r="A23" t="b" s="25">
        <v>0</v>
      </c>
      <c r="B23" t="s" s="92">
        <v>36</v>
      </c>
      <c r="C23" t="s" s="27">
        <v>38</v>
      </c>
      <c r="D23" s="28">
        <v>17.7</v>
      </c>
      <c r="E23" s="93" cm="1">
        <f t="array" ref="E23">IF(A23,D23*G23,0)</f>
        <v>0</v>
      </c>
      <c r="F23" t="s" s="94">
        <v>9</v>
      </c>
      <c r="G23" s="30">
        <v>1</v>
      </c>
      <c r="H23" s="31"/>
      <c r="I23" s="32"/>
      <c r="J23" s="2"/>
      <c r="K23" s="2"/>
      <c r="L23" s="33"/>
    </row>
    <row r="24" ht="19.65" customHeight="1">
      <c r="A24" t="b" s="25">
        <v>1</v>
      </c>
      <c r="B24" t="s" s="42">
        <v>36</v>
      </c>
      <c r="C24" t="s" s="43">
        <v>39</v>
      </c>
      <c r="D24" s="64">
        <v>5</v>
      </c>
      <c r="E24" s="65" cm="1">
        <f t="array" ref="E24">IF(A24,D24*G24,0)</f>
        <v>5</v>
      </c>
      <c r="F24" t="s" s="95">
        <v>9</v>
      </c>
      <c r="G24" s="39">
        <v>1</v>
      </c>
      <c r="H24" s="31"/>
      <c r="I24" s="32"/>
      <c r="J24" s="2"/>
      <c r="K24" s="2"/>
      <c r="L24" s="33"/>
    </row>
    <row r="25" ht="19.65" customHeight="1">
      <c r="A25" t="b" s="25">
        <v>0</v>
      </c>
      <c r="B25" t="s" s="90">
        <v>40</v>
      </c>
      <c r="C25" t="s" s="96">
        <v>41</v>
      </c>
      <c r="D25" s="66">
        <v>10</v>
      </c>
      <c r="E25" s="62" cm="1">
        <f t="array" ref="E25">IF(A25,D25*G25,0)</f>
        <v>0</v>
      </c>
      <c r="F25" t="s" s="29">
        <v>9</v>
      </c>
      <c r="G25" s="30">
        <v>1</v>
      </c>
      <c r="H25" s="31"/>
      <c r="I25" s="97"/>
      <c r="J25" s="97"/>
      <c r="K25" s="97"/>
      <c r="L25" s="33"/>
    </row>
    <row r="26" ht="19.65" customHeight="1">
      <c r="A26" t="b" s="25">
        <v>0</v>
      </c>
      <c r="B26" t="s" s="92">
        <v>42</v>
      </c>
      <c r="C26" t="s" s="98">
        <v>43</v>
      </c>
      <c r="D26" s="99">
        <v>10.5</v>
      </c>
      <c r="E26" s="93" cm="1">
        <f t="array" ref="E26">IF(A26,D26*G26,0)</f>
        <v>0</v>
      </c>
      <c r="F26" t="s" s="29">
        <v>9</v>
      </c>
      <c r="G26" s="30">
        <v>1</v>
      </c>
      <c r="H26" s="100"/>
      <c r="I26" t="s" s="101">
        <v>44</v>
      </c>
      <c r="J26" t="s" s="102">
        <v>4</v>
      </c>
      <c r="K26" t="s" s="102">
        <v>6</v>
      </c>
      <c r="L26" s="103"/>
    </row>
    <row r="27" ht="19.65" customHeight="1">
      <c r="A27" t="b" s="25">
        <v>1</v>
      </c>
      <c r="B27" t="s" s="104">
        <v>42</v>
      </c>
      <c r="C27" t="s" s="27">
        <v>45</v>
      </c>
      <c r="D27" s="105">
        <v>8</v>
      </c>
      <c r="E27" s="106" cm="1">
        <f t="array" ref="E27">IF(A27,D27*G27,0)</f>
        <v>8</v>
      </c>
      <c r="F27" t="s" s="29">
        <v>9</v>
      </c>
      <c r="G27" s="107">
        <v>1</v>
      </c>
      <c r="H27" s="100"/>
      <c r="I27" t="s" s="108">
        <v>2</v>
      </c>
      <c r="J27" s="109" cm="1">
        <f t="array" ref="J27">E8</f>
        <v>0.875</v>
      </c>
      <c r="K27" t="s" s="29">
        <v>15</v>
      </c>
      <c r="L27" s="103"/>
    </row>
    <row r="28" ht="18.95" customHeight="1">
      <c r="A28" s="46"/>
      <c r="B28" s="47"/>
      <c r="C28" s="48"/>
      <c r="D28" t="s" s="49">
        <v>14</v>
      </c>
      <c r="E28" s="50" cm="1">
        <f t="array" ref="E28">SUM(E22:E27/16)</f>
        <v>0.8125</v>
      </c>
      <c r="F28" t="s" s="51">
        <v>15</v>
      </c>
      <c r="G28" s="52"/>
      <c r="H28" s="100"/>
      <c r="I28" t="s" s="108">
        <v>16</v>
      </c>
      <c r="J28" s="109" cm="1">
        <f t="array" ref="J28">IF(A20,0,E20)</f>
        <v>0.65</v>
      </c>
      <c r="K28" t="s" s="29">
        <v>15</v>
      </c>
      <c r="L28" s="110"/>
    </row>
    <row r="29" ht="19.6" customHeight="1">
      <c r="A29" t="s" s="111">
        <v>1</v>
      </c>
      <c r="B29" t="s" s="112">
        <v>46</v>
      </c>
      <c r="C29" t="s" s="113">
        <v>3</v>
      </c>
      <c r="D29" t="s" s="114">
        <v>4</v>
      </c>
      <c r="E29" t="s" s="115">
        <v>5</v>
      </c>
      <c r="F29" t="s" s="115">
        <v>6</v>
      </c>
      <c r="G29" t="s" s="116">
        <v>7</v>
      </c>
      <c r="H29" s="117"/>
      <c r="I29" t="s" s="108">
        <v>35</v>
      </c>
      <c r="J29" s="109" cm="1">
        <f t="array" ref="J29">E28</f>
        <v>0.8125</v>
      </c>
      <c r="K29" t="s" s="29">
        <v>15</v>
      </c>
      <c r="L29" s="118"/>
    </row>
    <row r="30" ht="19.65" customHeight="1">
      <c r="A30" t="b" s="25">
        <v>1</v>
      </c>
      <c r="B30" t="s" s="90">
        <v>47</v>
      </c>
      <c r="C30" t="s" s="27">
        <v>48</v>
      </c>
      <c r="D30" s="119">
        <v>10.2</v>
      </c>
      <c r="E30" s="93" cm="1">
        <f t="array" ref="E30">IF(A30,D30*G30,0)</f>
        <v>10.2</v>
      </c>
      <c r="F30" t="s" s="29">
        <v>9</v>
      </c>
      <c r="G30" s="30">
        <v>1</v>
      </c>
      <c r="H30" s="100"/>
      <c r="I30" t="s" s="108">
        <v>46</v>
      </c>
      <c r="J30" s="109" cm="1">
        <f t="array" ref="J30">IF(A46,0,E46)</f>
        <v>2.3</v>
      </c>
      <c r="K30" t="s" s="29">
        <v>15</v>
      </c>
      <c r="L30" s="120"/>
    </row>
    <row r="31" ht="19.65" customHeight="1">
      <c r="A31" t="b" s="25">
        <v>0</v>
      </c>
      <c r="B31" t="s" s="42">
        <v>47</v>
      </c>
      <c r="C31" t="s" s="41">
        <v>49</v>
      </c>
      <c r="D31" s="64">
        <v>3.6</v>
      </c>
      <c r="E31" s="37" cm="1">
        <f t="array" ref="E31">IF(A31,D31*G31,0)</f>
        <v>0</v>
      </c>
      <c r="F31" t="s" s="38">
        <v>9</v>
      </c>
      <c r="G31" s="39">
        <v>1</v>
      </c>
      <c r="H31" s="100"/>
      <c r="I31" t="s" s="108">
        <v>50</v>
      </c>
      <c r="J31" s="109" cm="1">
        <f t="array" ref="J31">IF(A58,0,E58)</f>
        <v>0</v>
      </c>
      <c r="K31" t="s" s="29">
        <v>15</v>
      </c>
      <c r="L31" s="120"/>
    </row>
    <row r="32" ht="19.65" customHeight="1">
      <c r="A32" t="b" s="25">
        <v>0</v>
      </c>
      <c r="B32" t="s" s="121">
        <v>51</v>
      </c>
      <c r="C32" t="s" s="35">
        <v>52</v>
      </c>
      <c r="D32" s="122">
        <v>5.5</v>
      </c>
      <c r="E32" s="37" cm="1">
        <f t="array" ref="E32">IF(A32,D33*G33,0)</f>
        <v>0</v>
      </c>
      <c r="F32" t="s" s="123">
        <v>9</v>
      </c>
      <c r="G32" s="124">
        <v>1</v>
      </c>
      <c r="H32" s="100"/>
      <c r="I32" t="s" s="108">
        <v>53</v>
      </c>
      <c r="J32" s="109" cm="1">
        <f t="array" ref="J32">IF(A72,0,E72)</f>
        <v>0</v>
      </c>
      <c r="K32" t="s" s="29">
        <v>15</v>
      </c>
      <c r="L32" s="120"/>
    </row>
    <row r="33" ht="19.65" customHeight="1">
      <c r="A33" t="b" s="25">
        <v>1</v>
      </c>
      <c r="B33" t="s" s="26">
        <v>54</v>
      </c>
      <c r="C33" t="s" s="27">
        <v>55</v>
      </c>
      <c r="D33" s="28">
        <v>5.300000000000001</v>
      </c>
      <c r="E33" s="93" cm="1">
        <f t="array" ref="E33">IF(A33,D33*G33,0)</f>
        <v>5.3</v>
      </c>
      <c r="F33" t="s" s="29">
        <v>9</v>
      </c>
      <c r="G33" s="30">
        <v>1</v>
      </c>
      <c r="H33" s="100"/>
      <c r="I33" t="s" s="108">
        <v>56</v>
      </c>
      <c r="J33" s="109" cm="1">
        <f t="array" ref="J33">IF(A84,0,E84)</f>
        <v>0</v>
      </c>
      <c r="K33" t="s" s="29">
        <v>15</v>
      </c>
      <c r="L33" s="120"/>
    </row>
    <row r="34" ht="19.65" customHeight="1">
      <c r="A34" t="b" s="25">
        <v>1</v>
      </c>
      <c r="B34" t="s" s="26">
        <v>57</v>
      </c>
      <c r="C34" t="s" s="27">
        <v>58</v>
      </c>
      <c r="D34" s="28">
        <v>4.800000000000001</v>
      </c>
      <c r="E34" s="93" cm="1">
        <f t="array" ref="E34">IF(A34,D34*G34,0)</f>
        <v>4.8</v>
      </c>
      <c r="F34" t="s" s="29">
        <v>9</v>
      </c>
      <c r="G34" s="30">
        <v>1</v>
      </c>
      <c r="H34" s="100"/>
      <c r="I34" t="s" s="108">
        <v>59</v>
      </c>
      <c r="J34" s="109" cm="1">
        <f t="array" ref="J34">IF(A92,0,E92)</f>
        <v>0</v>
      </c>
      <c r="K34" t="s" s="29">
        <v>15</v>
      </c>
      <c r="L34" s="120"/>
    </row>
    <row r="35" ht="19.65" customHeight="1">
      <c r="A35" t="b" s="25">
        <v>1</v>
      </c>
      <c r="B35" t="s" s="26">
        <v>60</v>
      </c>
      <c r="C35" t="s" s="27">
        <v>61</v>
      </c>
      <c r="D35" s="28">
        <v>3.3</v>
      </c>
      <c r="E35" s="93" cm="1">
        <f t="array" ref="E35">IF(A35,D35*G35,0)</f>
        <v>3.3</v>
      </c>
      <c r="F35" t="s" s="29">
        <v>9</v>
      </c>
      <c r="G35" s="30">
        <v>1</v>
      </c>
      <c r="H35" s="100"/>
      <c r="I35" t="s" s="125">
        <v>62</v>
      </c>
      <c r="J35" s="126" cm="1">
        <f t="array" ref="J35">E103</f>
        <v>0</v>
      </c>
      <c r="K35" t="s" s="127">
        <v>15</v>
      </c>
      <c r="L35" s="120"/>
    </row>
    <row r="36" ht="19.65" customHeight="1">
      <c r="A36" t="b" s="25">
        <v>1</v>
      </c>
      <c r="B36" t="s" s="26">
        <v>63</v>
      </c>
      <c r="C36" t="s" s="27">
        <v>64</v>
      </c>
      <c r="D36" s="28">
        <v>2.700000000000001</v>
      </c>
      <c r="E36" s="93" cm="1">
        <f t="array" ref="E36">IF(A36,D36*G36,0)</f>
        <v>2.7</v>
      </c>
      <c r="F36" t="s" s="29">
        <v>9</v>
      </c>
      <c r="G36" s="30">
        <v>1</v>
      </c>
      <c r="H36" s="128"/>
      <c r="I36" t="s" s="129">
        <v>65</v>
      </c>
      <c r="J36" s="130" cm="1">
        <f t="array" ref="J36">SUM(IF(A20,E20,0),IF(A46,E46,0),IF(A58,E58,0),IF(A72,E72,0),IF(A84,E84,0),IF(A92,E92,0),E111)</f>
        <v>0</v>
      </c>
      <c r="K36" t="s" s="131">
        <v>15</v>
      </c>
      <c r="L36" s="132"/>
    </row>
    <row r="37" ht="19.15" customHeight="1">
      <c r="A37" t="b" s="25">
        <v>1</v>
      </c>
      <c r="B37" t="s" s="26">
        <v>66</v>
      </c>
      <c r="C37" t="s" s="133">
        <v>67</v>
      </c>
      <c r="D37" s="28">
        <v>5.300000000000001</v>
      </c>
      <c r="E37" s="93" cm="1">
        <f t="array" ref="E37">IF(A37,D37*G37,0)</f>
        <v>5.3</v>
      </c>
      <c r="F37" t="s" s="29">
        <v>9</v>
      </c>
      <c r="G37" s="30">
        <v>1</v>
      </c>
      <c r="H37" s="128"/>
      <c r="I37" t="s" s="129">
        <v>68</v>
      </c>
      <c r="J37" s="130" cm="1">
        <f t="array" ref="J37">J35</f>
        <v>0</v>
      </c>
      <c r="K37" t="s" s="131">
        <v>15</v>
      </c>
      <c r="L37" s="134"/>
    </row>
    <row r="38" ht="19.65" customHeight="1">
      <c r="A38" t="b" s="25">
        <v>0</v>
      </c>
      <c r="B38" t="s" s="26">
        <v>69</v>
      </c>
      <c r="C38" t="s" s="27">
        <v>70</v>
      </c>
      <c r="D38" s="28">
        <v>0.71</v>
      </c>
      <c r="E38" s="93" cm="1">
        <f t="array" ref="E38">IF(A38,D38*G38,0)</f>
        <v>0</v>
      </c>
      <c r="F38" t="s" s="29">
        <v>9</v>
      </c>
      <c r="G38" s="30">
        <v>1</v>
      </c>
      <c r="H38" s="128"/>
      <c r="I38" t="s" s="129">
        <v>71</v>
      </c>
      <c r="J38" s="135" cm="1">
        <f t="array" ref="J38">SUM(J27:J34,J36)</f>
        <v>4.6375</v>
      </c>
      <c r="K38" t="s" s="131">
        <v>15</v>
      </c>
      <c r="L38" s="132"/>
    </row>
    <row r="39" ht="19.65" customHeight="1">
      <c r="A39" t="b" s="25">
        <v>0</v>
      </c>
      <c r="B39" t="s" s="26">
        <v>72</v>
      </c>
      <c r="C39" t="s" s="27">
        <v>73</v>
      </c>
      <c r="D39" s="28">
        <v>5.600000000000001</v>
      </c>
      <c r="E39" s="93" cm="1">
        <f t="array" ref="E39">IF(A39,D39*G39,0)</f>
        <v>0</v>
      </c>
      <c r="F39" t="s" s="29">
        <v>9</v>
      </c>
      <c r="G39" s="30">
        <v>1</v>
      </c>
      <c r="H39" s="128"/>
      <c r="I39" t="s" s="136">
        <v>74</v>
      </c>
      <c r="J39" s="137" cm="1">
        <f t="array" ref="J39">'Meal Planner'!D71</f>
        <v>5.55564900705892</v>
      </c>
      <c r="K39" t="s" s="138">
        <v>75</v>
      </c>
      <c r="L39" s="132"/>
    </row>
    <row r="40" ht="19.65" customHeight="1">
      <c r="A40" t="b" s="25">
        <v>0</v>
      </c>
      <c r="B40" t="s" s="26">
        <v>76</v>
      </c>
      <c r="C40" t="s" s="133">
        <v>77</v>
      </c>
      <c r="D40" s="28">
        <v>2.8</v>
      </c>
      <c r="E40" s="93" cm="1">
        <f t="array" ref="E40">IF(A40,D40*G40,0)</f>
        <v>0</v>
      </c>
      <c r="F40" t="s" s="29">
        <v>9</v>
      </c>
      <c r="G40" s="30">
        <v>1</v>
      </c>
      <c r="H40" s="128"/>
      <c r="I40" t="s" s="129">
        <v>14</v>
      </c>
      <c r="J40" s="130" cm="1">
        <f t="array" ref="J40">SUM(J36:J39)</f>
        <v>10.1931490070589</v>
      </c>
      <c r="K40" t="s" s="131">
        <v>15</v>
      </c>
      <c r="L40" s="132"/>
    </row>
    <row r="41" ht="19.65" customHeight="1">
      <c r="A41" t="b" s="25">
        <v>0</v>
      </c>
      <c r="B41" t="s" s="26">
        <v>78</v>
      </c>
      <c r="C41" t="s" s="27">
        <v>79</v>
      </c>
      <c r="D41" s="28">
        <v>2</v>
      </c>
      <c r="E41" s="93" cm="1">
        <f t="array" ref="E41">IF(A41,D41*G41,0)</f>
        <v>0</v>
      </c>
      <c r="F41" t="s" s="29">
        <v>9</v>
      </c>
      <c r="G41" s="30">
        <v>1</v>
      </c>
      <c r="H41" s="31"/>
      <c r="I41" s="139"/>
      <c r="J41" s="139"/>
      <c r="K41" s="139"/>
      <c r="L41" s="140"/>
    </row>
    <row r="42" ht="19.65" customHeight="1">
      <c r="A42" t="b" s="25">
        <v>1</v>
      </c>
      <c r="B42" t="s" s="26">
        <v>80</v>
      </c>
      <c r="C42" t="s" s="27">
        <v>81</v>
      </c>
      <c r="D42" s="28">
        <v>2.4</v>
      </c>
      <c r="E42" s="93" cm="1">
        <f t="array" ref="E42">IF(A42,D42*G42,0)</f>
        <v>2.4</v>
      </c>
      <c r="F42" t="s" s="29">
        <v>9</v>
      </c>
      <c r="G42" s="30">
        <v>1</v>
      </c>
      <c r="H42" s="31"/>
      <c r="I42" s="141"/>
      <c r="J42" s="142"/>
      <c r="K42" s="142"/>
      <c r="L42" s="140"/>
    </row>
    <row r="43" ht="19.65" customHeight="1">
      <c r="A43" t="b" s="25">
        <v>0</v>
      </c>
      <c r="B43" t="s" s="90">
        <v>82</v>
      </c>
      <c r="C43" t="s" s="96">
        <v>83</v>
      </c>
      <c r="D43" s="28">
        <v>2.1</v>
      </c>
      <c r="E43" s="93" cm="1">
        <f t="array" ref="E43">IF(A43,D43*G43,0)</f>
        <v>0</v>
      </c>
      <c r="F43" t="s" s="29">
        <v>9</v>
      </c>
      <c r="G43" s="30">
        <v>1</v>
      </c>
      <c r="H43" s="128"/>
      <c r="I43" t="s" s="143">
        <v>84</v>
      </c>
      <c r="J43" t="s" s="144">
        <v>4</v>
      </c>
      <c r="K43" t="s" s="145">
        <v>6</v>
      </c>
      <c r="L43" s="146"/>
    </row>
    <row r="44" ht="19.65" customHeight="1">
      <c r="A44" t="b" s="25">
        <v>1</v>
      </c>
      <c r="B44" t="s" s="42">
        <v>85</v>
      </c>
      <c r="C44" t="s" s="147">
        <v>86</v>
      </c>
      <c r="D44" s="148">
        <v>2.8</v>
      </c>
      <c r="E44" s="93" cm="1">
        <f t="array" ref="E44">IF(A44,D44*G44,0)</f>
        <v>2.8</v>
      </c>
      <c r="F44" t="s" s="29">
        <v>9</v>
      </c>
      <c r="G44" s="30">
        <v>1</v>
      </c>
      <c r="H44" s="149"/>
      <c r="I44" s="150"/>
      <c r="J44" s="151"/>
      <c r="K44" t="s" s="152">
        <v>9</v>
      </c>
      <c r="L44" s="153"/>
    </row>
    <row r="45" ht="19.65" customHeight="1">
      <c r="A45" t="b" s="25">
        <v>0</v>
      </c>
      <c r="B45" s="154"/>
      <c r="C45" s="155"/>
      <c r="D45" s="156"/>
      <c r="E45" s="106" cm="1">
        <f t="array" ref="E45">IF(A45,D45*G45,0)</f>
        <v>0</v>
      </c>
      <c r="F45" t="s" s="29">
        <v>9</v>
      </c>
      <c r="G45" s="107">
        <v>1</v>
      </c>
      <c r="H45" s="149"/>
      <c r="I45" s="157"/>
      <c r="J45" s="158"/>
      <c r="K45" t="s" s="152">
        <v>9</v>
      </c>
      <c r="L45" s="153"/>
    </row>
    <row r="46" ht="20" customHeight="1">
      <c r="A46" s="46"/>
      <c r="B46" s="47"/>
      <c r="C46" s="48"/>
      <c r="D46" t="s" s="49">
        <v>14</v>
      </c>
      <c r="E46" s="50" cm="1">
        <f t="array" ref="E46">SUM(E30:E45/16)</f>
        <v>2.3</v>
      </c>
      <c r="F46" t="s" s="51">
        <v>15</v>
      </c>
      <c r="G46" s="52"/>
      <c r="H46" s="149"/>
      <c r="I46" s="159"/>
      <c r="J46" s="160"/>
      <c r="K46" t="s" s="152">
        <v>9</v>
      </c>
      <c r="L46" s="153"/>
    </row>
    <row r="47" ht="20" customHeight="1">
      <c r="A47" t="s" s="161">
        <v>1</v>
      </c>
      <c r="B47" t="s" s="162">
        <v>50</v>
      </c>
      <c r="C47" t="s" s="163">
        <v>3</v>
      </c>
      <c r="D47" t="s" s="164">
        <v>4</v>
      </c>
      <c r="E47" t="s" s="165">
        <v>5</v>
      </c>
      <c r="F47" t="s" s="165">
        <v>6</v>
      </c>
      <c r="G47" t="s" s="166">
        <v>7</v>
      </c>
      <c r="H47" s="167"/>
      <c r="I47" s="159"/>
      <c r="J47" s="160"/>
      <c r="K47" t="s" s="152">
        <v>9</v>
      </c>
      <c r="L47" s="153"/>
    </row>
    <row r="48" ht="19.65" customHeight="1">
      <c r="A48" t="b" s="25">
        <v>0</v>
      </c>
      <c r="B48" t="s" s="26">
        <v>87</v>
      </c>
      <c r="C48" t="s" s="168">
        <v>88</v>
      </c>
      <c r="D48" s="119">
        <v>5.7</v>
      </c>
      <c r="E48" s="93" cm="1">
        <f t="array" ref="E48">IF(A48,D48*G48,0)</f>
        <v>0</v>
      </c>
      <c r="F48" t="s" s="29">
        <v>9</v>
      </c>
      <c r="G48" s="30">
        <v>1</v>
      </c>
      <c r="H48" s="149"/>
      <c r="I48" s="159"/>
      <c r="J48" s="160"/>
      <c r="K48" t="s" s="152">
        <v>9</v>
      </c>
      <c r="L48" s="153"/>
    </row>
    <row r="49" ht="19.65" customHeight="1">
      <c r="A49" t="b" s="25">
        <v>0</v>
      </c>
      <c r="B49" t="s" s="26">
        <v>89</v>
      </c>
      <c r="C49" t="s" s="27">
        <v>90</v>
      </c>
      <c r="D49" s="28">
        <v>0.65</v>
      </c>
      <c r="E49" s="93" cm="1">
        <f t="array" ref="E49">IF(A49,D49*G49,0)</f>
        <v>0</v>
      </c>
      <c r="F49" t="s" s="29">
        <v>9</v>
      </c>
      <c r="G49" s="30">
        <v>1</v>
      </c>
      <c r="H49" s="149"/>
      <c r="I49" s="159"/>
      <c r="J49" s="160"/>
      <c r="K49" t="s" s="152">
        <v>9</v>
      </c>
      <c r="L49" s="153"/>
    </row>
    <row r="50" ht="19.65" customHeight="1">
      <c r="A50" t="b" s="25">
        <v>0</v>
      </c>
      <c r="B50" t="s" s="26">
        <v>91</v>
      </c>
      <c r="C50" t="s" s="27">
        <v>92</v>
      </c>
      <c r="D50" s="28">
        <v>3</v>
      </c>
      <c r="E50" s="93" cm="1">
        <f t="array" ref="E50">IF(A50,D50*G50,0)</f>
        <v>0</v>
      </c>
      <c r="F50" t="s" s="29">
        <v>9</v>
      </c>
      <c r="G50" s="30">
        <v>1</v>
      </c>
      <c r="H50" s="149"/>
      <c r="I50" s="159"/>
      <c r="J50" s="160"/>
      <c r="K50" t="s" s="152">
        <v>9</v>
      </c>
      <c r="L50" s="153"/>
    </row>
    <row r="51" ht="19.65" customHeight="1">
      <c r="A51" t="b" s="25">
        <v>0</v>
      </c>
      <c r="B51" t="s" s="90">
        <v>93</v>
      </c>
      <c r="C51" t="s" s="96">
        <v>94</v>
      </c>
      <c r="D51" s="28">
        <v>7.68</v>
      </c>
      <c r="E51" s="106" cm="1">
        <f t="array" ref="E51">IF(A51,D51*G51,0)</f>
        <v>0</v>
      </c>
      <c r="F51" t="s" s="29">
        <v>9</v>
      </c>
      <c r="G51" s="107">
        <v>1</v>
      </c>
      <c r="H51" s="167"/>
      <c r="I51" s="159"/>
      <c r="J51" s="160"/>
      <c r="K51" t="s" s="152">
        <v>9</v>
      </c>
      <c r="L51" s="153"/>
    </row>
    <row r="52" ht="19.65" customHeight="1">
      <c r="A52" t="b" s="25">
        <v>0</v>
      </c>
      <c r="B52" t="s" s="104">
        <v>95</v>
      </c>
      <c r="C52" t="s" s="147">
        <v>96</v>
      </c>
      <c r="D52" s="148">
        <v>2.5</v>
      </c>
      <c r="E52" s="169" cm="1">
        <f t="array" ref="E52">IF(A52,D52*G52,0)</f>
        <v>0</v>
      </c>
      <c r="F52" t="s" s="29">
        <v>9</v>
      </c>
      <c r="G52" s="170">
        <v>1</v>
      </c>
      <c r="H52" s="149"/>
      <c r="I52" s="159"/>
      <c r="J52" s="160"/>
      <c r="K52" t="s" s="152">
        <v>9</v>
      </c>
      <c r="L52" s="153"/>
    </row>
    <row r="53" ht="19.65" customHeight="1">
      <c r="A53" t="b" s="25">
        <v>0</v>
      </c>
      <c r="B53" t="s" s="171">
        <v>97</v>
      </c>
      <c r="C53" t="s" s="43">
        <v>98</v>
      </c>
      <c r="D53" s="172">
        <v>0.5</v>
      </c>
      <c r="E53" s="25" cm="1">
        <f t="array" ref="E53">IF(A53,D53*G53,0)</f>
        <v>0</v>
      </c>
      <c r="F53" t="s" s="29">
        <v>9</v>
      </c>
      <c r="G53" s="30">
        <v>1</v>
      </c>
      <c r="H53" s="149"/>
      <c r="I53" s="159"/>
      <c r="J53" s="160"/>
      <c r="K53" t="s" s="152">
        <v>9</v>
      </c>
      <c r="L53" s="153"/>
    </row>
    <row r="54" ht="19.65" customHeight="1">
      <c r="A54" t="b" s="25">
        <v>0</v>
      </c>
      <c r="B54" t="s" s="171">
        <v>99</v>
      </c>
      <c r="C54" t="s" s="43">
        <v>98</v>
      </c>
      <c r="D54" s="172">
        <v>0.22</v>
      </c>
      <c r="E54" s="25" cm="1">
        <f t="array" ref="E54">IF(A54,D54*G54,0)</f>
        <v>0</v>
      </c>
      <c r="F54" t="s" s="29">
        <v>9</v>
      </c>
      <c r="G54" s="30">
        <v>1</v>
      </c>
      <c r="H54" s="149"/>
      <c r="I54" s="159"/>
      <c r="J54" s="160"/>
      <c r="K54" t="s" s="152">
        <v>9</v>
      </c>
      <c r="L54" s="153"/>
    </row>
    <row r="55" ht="19.65" customHeight="1">
      <c r="A55" t="b" s="25">
        <v>0</v>
      </c>
      <c r="B55" t="s" s="171">
        <v>100</v>
      </c>
      <c r="C55" t="s" s="173">
        <v>101</v>
      </c>
      <c r="D55" s="172">
        <v>8</v>
      </c>
      <c r="E55" s="25" cm="1">
        <f t="array" ref="E55">IF(A55,D55*G55,0)</f>
        <v>0</v>
      </c>
      <c r="F55" t="s" s="29">
        <v>9</v>
      </c>
      <c r="G55" s="30">
        <v>1</v>
      </c>
      <c r="H55" s="149"/>
      <c r="I55" s="159"/>
      <c r="J55" s="160"/>
      <c r="K55" t="s" s="152">
        <v>9</v>
      </c>
      <c r="L55" s="153"/>
    </row>
    <row r="56" ht="19.65" customHeight="1">
      <c r="A56" t="b" s="25">
        <v>0</v>
      </c>
      <c r="B56" t="s" s="171">
        <v>102</v>
      </c>
      <c r="C56" t="s" s="173">
        <v>103</v>
      </c>
      <c r="D56" s="172">
        <v>0.5</v>
      </c>
      <c r="E56" s="25" cm="1">
        <f t="array" ref="E56">IF(A56,D56*G56,0)</f>
        <v>0</v>
      </c>
      <c r="F56" t="s" s="29">
        <v>9</v>
      </c>
      <c r="G56" s="30">
        <v>1</v>
      </c>
      <c r="H56" s="149"/>
      <c r="I56" s="159"/>
      <c r="J56" s="160"/>
      <c r="K56" s="152"/>
      <c r="L56" s="153"/>
    </row>
    <row r="57" ht="19.65" customHeight="1">
      <c r="A57" t="b" s="25">
        <v>0</v>
      </c>
      <c r="B57" t="s" s="171">
        <v>104</v>
      </c>
      <c r="C57" t="s" s="173">
        <v>105</v>
      </c>
      <c r="D57" s="172">
        <v>31</v>
      </c>
      <c r="E57" s="25" cm="1">
        <f t="array" ref="E57">IF(A57,D57*G57,0)</f>
        <v>0</v>
      </c>
      <c r="F57" t="s" s="29">
        <v>9</v>
      </c>
      <c r="G57" s="30">
        <v>1</v>
      </c>
      <c r="H57" s="149"/>
      <c r="I57" s="159"/>
      <c r="J57" s="160"/>
      <c r="K57" t="s" s="152">
        <v>9</v>
      </c>
      <c r="L57" s="153"/>
    </row>
    <row r="58" ht="22.65" customHeight="1">
      <c r="A58" s="46"/>
      <c r="B58" s="47"/>
      <c r="C58" s="48"/>
      <c r="D58" t="s" s="49">
        <v>14</v>
      </c>
      <c r="E58" s="174" cm="1">
        <f t="array" ref="E58">SUM(E48:E57/16)</f>
        <v>0</v>
      </c>
      <c r="F58" t="s" s="51">
        <v>15</v>
      </c>
      <c r="G58" s="175"/>
      <c r="H58" s="149"/>
      <c r="I58" s="159"/>
      <c r="J58" s="160"/>
      <c r="K58" t="s" s="152">
        <v>9</v>
      </c>
      <c r="L58" s="153"/>
    </row>
    <row r="59" ht="19.2" customHeight="1">
      <c r="A59" t="s" s="176">
        <v>1</v>
      </c>
      <c r="B59" t="s" s="177">
        <v>53</v>
      </c>
      <c r="C59" t="s" s="178">
        <v>3</v>
      </c>
      <c r="D59" t="s" s="179">
        <v>4</v>
      </c>
      <c r="E59" t="s" s="180">
        <v>5</v>
      </c>
      <c r="F59" t="s" s="180">
        <v>6</v>
      </c>
      <c r="G59" t="s" s="181">
        <v>7</v>
      </c>
      <c r="H59" s="149"/>
      <c r="I59" t="s" s="182">
        <v>14</v>
      </c>
      <c r="J59" s="183" cm="1">
        <f t="array" ref="J59">SUM(J44:J58)</f>
        <v>0</v>
      </c>
      <c r="K59" t="s" s="184">
        <v>9</v>
      </c>
      <c r="L59" s="153"/>
    </row>
    <row r="60" ht="19.65" customHeight="1">
      <c r="A60" t="b" s="25">
        <v>0</v>
      </c>
      <c r="B60" t="s" s="26">
        <v>106</v>
      </c>
      <c r="C60" t="s" s="168">
        <v>107</v>
      </c>
      <c r="D60" s="119">
        <v>6</v>
      </c>
      <c r="E60" s="62" cm="1">
        <f t="array" ref="E60">IF(A60,D60*G60,0)</f>
        <v>0</v>
      </c>
      <c r="F60" t="s" s="29">
        <v>9</v>
      </c>
      <c r="G60" s="30">
        <v>1</v>
      </c>
      <c r="H60" s="31"/>
      <c r="I60" s="185"/>
      <c r="J60" s="186"/>
      <c r="K60" s="186"/>
      <c r="L60" s="140"/>
    </row>
    <row r="61" ht="19.65" customHeight="1">
      <c r="A61" t="b" s="25">
        <v>0</v>
      </c>
      <c r="B61" t="s" s="26">
        <v>106</v>
      </c>
      <c r="C61" t="s" s="43">
        <v>108</v>
      </c>
      <c r="D61" s="28">
        <v>17.8</v>
      </c>
      <c r="E61" s="93" cm="1">
        <f t="array" ref="E61">IF(A61,D61*G61,0)</f>
        <v>0</v>
      </c>
      <c r="F61" t="s" s="29">
        <v>9</v>
      </c>
      <c r="G61" s="30">
        <v>1</v>
      </c>
      <c r="H61" s="149"/>
      <c r="I61" t="s" s="187">
        <v>109</v>
      </c>
      <c r="J61" t="s" s="188">
        <v>4</v>
      </c>
      <c r="K61" t="s" s="189">
        <v>7</v>
      </c>
      <c r="L61" s="153"/>
    </row>
    <row r="62" ht="19.65" customHeight="1">
      <c r="A62" t="b" s="25">
        <v>0</v>
      </c>
      <c r="B62" t="s" s="26">
        <v>110</v>
      </c>
      <c r="C62" t="s" s="27">
        <v>111</v>
      </c>
      <c r="D62" s="28">
        <v>37</v>
      </c>
      <c r="E62" s="93" cm="1">
        <f t="array" ref="E62">IF(A62,D62*G62,0)</f>
        <v>0</v>
      </c>
      <c r="F62" t="s" s="29">
        <v>9</v>
      </c>
      <c r="G62" s="30">
        <v>1</v>
      </c>
      <c r="H62" s="167"/>
      <c r="I62" s="190"/>
      <c r="J62" s="191"/>
      <c r="K62" t="s" s="192">
        <v>9</v>
      </c>
      <c r="L62" s="153"/>
    </row>
    <row r="63" ht="19.65" customHeight="1">
      <c r="A63" t="b" s="25">
        <v>0</v>
      </c>
      <c r="B63" t="s" s="26">
        <v>112</v>
      </c>
      <c r="C63" t="s" s="27">
        <v>113</v>
      </c>
      <c r="D63" s="28">
        <v>1</v>
      </c>
      <c r="E63" s="93" cm="1">
        <f t="array" ref="E63">IF(A63,D63*G63,0)</f>
        <v>0</v>
      </c>
      <c r="F63" t="s" s="29">
        <v>9</v>
      </c>
      <c r="G63" s="30">
        <v>1</v>
      </c>
      <c r="H63" s="149"/>
      <c r="I63" s="193"/>
      <c r="J63" s="194"/>
      <c r="K63" t="s" s="192">
        <v>9</v>
      </c>
      <c r="L63" s="153"/>
    </row>
    <row r="64" ht="19.65" customHeight="1">
      <c r="A64" t="b" s="25">
        <v>0</v>
      </c>
      <c r="B64" t="s" s="26">
        <v>114</v>
      </c>
      <c r="C64" t="s" s="27">
        <v>115</v>
      </c>
      <c r="D64" s="28">
        <v>1.65</v>
      </c>
      <c r="E64" s="62" cm="1">
        <f t="array" ref="E64">IF(A64,D64*G64,0)</f>
        <v>0</v>
      </c>
      <c r="F64" t="s" s="29">
        <v>9</v>
      </c>
      <c r="G64" s="30">
        <v>1</v>
      </c>
      <c r="H64" s="149"/>
      <c r="I64" s="193"/>
      <c r="J64" s="194"/>
      <c r="K64" t="s" s="192">
        <v>9</v>
      </c>
      <c r="L64" s="153"/>
    </row>
    <row r="65" ht="19.65" customHeight="1">
      <c r="A65" t="b" s="25">
        <v>0</v>
      </c>
      <c r="B65" t="s" s="26">
        <v>116</v>
      </c>
      <c r="C65" t="s" s="27">
        <v>117</v>
      </c>
      <c r="D65" s="28">
        <v>2.8</v>
      </c>
      <c r="E65" s="93" cm="1">
        <f t="array" ref="E65">IF(A65,D65*G65,0)</f>
        <v>0</v>
      </c>
      <c r="F65" t="s" s="29">
        <v>9</v>
      </c>
      <c r="G65" s="30">
        <v>1</v>
      </c>
      <c r="H65" s="149"/>
      <c r="I65" s="193"/>
      <c r="J65" s="194"/>
      <c r="K65" t="s" s="192">
        <v>9</v>
      </c>
      <c r="L65" s="153"/>
    </row>
    <row r="66" ht="19.65" customHeight="1">
      <c r="A66" t="b" s="25">
        <v>0</v>
      </c>
      <c r="B66" t="s" s="26">
        <v>118</v>
      </c>
      <c r="C66" t="s" s="27">
        <v>119</v>
      </c>
      <c r="D66" s="28">
        <v>9</v>
      </c>
      <c r="E66" s="62" cm="1">
        <f t="array" ref="E66">IF(A66,D66*G66,0)</f>
        <v>0</v>
      </c>
      <c r="F66" t="s" s="29">
        <v>9</v>
      </c>
      <c r="G66" s="30">
        <v>1</v>
      </c>
      <c r="H66" s="149"/>
      <c r="I66" s="193"/>
      <c r="J66" s="194"/>
      <c r="K66" t="s" s="192">
        <v>9</v>
      </c>
      <c r="L66" s="153"/>
    </row>
    <row r="67" ht="19.65" customHeight="1">
      <c r="A67" t="b" s="25">
        <v>0</v>
      </c>
      <c r="B67" t="s" s="90">
        <v>120</v>
      </c>
      <c r="C67" s="195"/>
      <c r="D67" s="196"/>
      <c r="E67" s="93" cm="1">
        <f t="array" ref="E67">IF(A67,D67*G67,0)</f>
        <v>0</v>
      </c>
      <c r="F67" t="s" s="29">
        <v>9</v>
      </c>
      <c r="G67" s="30">
        <v>1</v>
      </c>
      <c r="H67" s="149"/>
      <c r="I67" s="193"/>
      <c r="J67" s="194"/>
      <c r="K67" t="s" s="192">
        <v>9</v>
      </c>
      <c r="L67" s="153"/>
    </row>
    <row r="68" ht="19.65" customHeight="1">
      <c r="A68" t="b" s="25">
        <v>0</v>
      </c>
      <c r="B68" t="s" s="104">
        <v>121</v>
      </c>
      <c r="C68" t="s" s="147">
        <v>122</v>
      </c>
      <c r="D68" s="197">
        <v>0.71</v>
      </c>
      <c r="E68" s="93" cm="1">
        <f t="array" ref="E68">IF(A68,D68*G68,0)</f>
        <v>0</v>
      </c>
      <c r="F68" t="s" s="29">
        <v>9</v>
      </c>
      <c r="G68" s="30">
        <v>1</v>
      </c>
      <c r="H68" s="149"/>
      <c r="I68" s="193"/>
      <c r="J68" s="194"/>
      <c r="K68" t="s" s="192">
        <v>9</v>
      </c>
      <c r="L68" s="153"/>
    </row>
    <row r="69" ht="19.65" customHeight="1">
      <c r="A69" t="b" s="25">
        <v>0</v>
      </c>
      <c r="B69" t="s" s="171">
        <v>123</v>
      </c>
      <c r="C69" t="s" s="173">
        <v>124</v>
      </c>
      <c r="D69" s="172">
        <v>6</v>
      </c>
      <c r="E69" s="93" cm="1">
        <f t="array" ref="E69">IF(A69,D69*G69,0)</f>
        <v>0</v>
      </c>
      <c r="F69" t="s" s="91">
        <v>9</v>
      </c>
      <c r="G69" s="30">
        <v>1</v>
      </c>
      <c r="H69" s="167"/>
      <c r="I69" s="193"/>
      <c r="J69" s="194"/>
      <c r="K69" t="s" s="192">
        <v>9</v>
      </c>
      <c r="L69" s="153"/>
    </row>
    <row r="70" ht="19.65" customHeight="1">
      <c r="A70" t="b" s="25">
        <v>0</v>
      </c>
      <c r="B70" t="s" s="171">
        <v>125</v>
      </c>
      <c r="C70" t="s" s="43">
        <v>126</v>
      </c>
      <c r="D70" s="172">
        <v>1</v>
      </c>
      <c r="E70" s="93" cm="1">
        <f t="array" ref="E70">IF(A70,D70*G70,0)</f>
        <v>0</v>
      </c>
      <c r="F70" t="s" s="94">
        <v>9</v>
      </c>
      <c r="G70" s="30">
        <v>1</v>
      </c>
      <c r="H70" s="149"/>
      <c r="I70" s="193"/>
      <c r="J70" s="194"/>
      <c r="K70" t="s" s="192">
        <v>9</v>
      </c>
      <c r="L70" s="153"/>
    </row>
    <row r="71" ht="19.65" customHeight="1">
      <c r="A71" t="b" s="25">
        <v>0</v>
      </c>
      <c r="B71" t="s" s="198">
        <v>127</v>
      </c>
      <c r="C71" t="s" s="43">
        <v>128</v>
      </c>
      <c r="D71" s="172">
        <v>0.87</v>
      </c>
      <c r="E71" s="106" cm="1">
        <f t="array" ref="E71">IF(A71,D71*G71,0)</f>
        <v>0</v>
      </c>
      <c r="F71" t="s" s="94">
        <v>9</v>
      </c>
      <c r="G71" s="107">
        <v>1</v>
      </c>
      <c r="H71" s="149"/>
      <c r="I71" s="193"/>
      <c r="J71" s="194"/>
      <c r="K71" t="s" s="192">
        <v>9</v>
      </c>
      <c r="L71" s="153"/>
    </row>
    <row r="72" ht="19.45" customHeight="1">
      <c r="A72" s="46"/>
      <c r="B72" s="47"/>
      <c r="C72" s="48"/>
      <c r="D72" t="s" s="49">
        <v>14</v>
      </c>
      <c r="E72" s="50" cm="1">
        <f t="array" ref="E72">SUM(E60:E71/16)</f>
        <v>0</v>
      </c>
      <c r="F72" t="s" s="84">
        <v>15</v>
      </c>
      <c r="G72" s="52"/>
      <c r="H72" s="149"/>
      <c r="I72" s="193"/>
      <c r="J72" s="194"/>
      <c r="K72" t="s" s="192">
        <v>9</v>
      </c>
      <c r="L72" s="153"/>
    </row>
    <row r="73" ht="19.95" customHeight="1">
      <c r="A73" t="s" s="199">
        <v>1</v>
      </c>
      <c r="B73" t="s" s="200">
        <v>56</v>
      </c>
      <c r="C73" t="s" s="201">
        <v>3</v>
      </c>
      <c r="D73" t="s" s="202">
        <v>4</v>
      </c>
      <c r="E73" t="s" s="203">
        <v>5</v>
      </c>
      <c r="F73" t="s" s="203">
        <v>6</v>
      </c>
      <c r="G73" t="s" s="204">
        <v>7</v>
      </c>
      <c r="H73" s="149"/>
      <c r="I73" t="s" s="205">
        <v>14</v>
      </c>
      <c r="J73" s="206" cm="1">
        <f t="array" ref="J73">SUM(J62:J72)</f>
        <v>0</v>
      </c>
      <c r="K73" t="s" s="207">
        <v>9</v>
      </c>
      <c r="L73" s="153"/>
    </row>
    <row r="74" ht="19.65" customHeight="1">
      <c r="A74" t="b" s="25">
        <v>0</v>
      </c>
      <c r="B74" t="s" s="26">
        <v>129</v>
      </c>
      <c r="C74" s="208"/>
      <c r="D74" s="119"/>
      <c r="E74" s="93" cm="1">
        <f t="array" ref="E74">IF(A74,D74*G74,0)</f>
        <v>0</v>
      </c>
      <c r="F74" t="s" s="29">
        <v>9</v>
      </c>
      <c r="G74" s="30">
        <v>1</v>
      </c>
      <c r="H74" s="31"/>
      <c r="I74" s="209"/>
      <c r="J74" s="210"/>
      <c r="K74" s="210"/>
      <c r="L74" s="140"/>
    </row>
    <row r="75" ht="19.65" customHeight="1">
      <c r="A75" t="b" s="25">
        <v>0</v>
      </c>
      <c r="B75" t="s" s="26">
        <v>130</v>
      </c>
      <c r="C75" s="208"/>
      <c r="D75" s="28"/>
      <c r="E75" s="93" cm="1">
        <f t="array" ref="E75">IF(A75,D75*G75,0)</f>
        <v>0</v>
      </c>
      <c r="F75" t="s" s="29">
        <v>9</v>
      </c>
      <c r="G75" s="30">
        <v>1</v>
      </c>
      <c r="H75" s="31"/>
      <c r="I75" s="32"/>
      <c r="J75" s="2"/>
      <c r="K75" s="2"/>
      <c r="L75" s="140"/>
    </row>
    <row r="76" ht="19.65" customHeight="1">
      <c r="A76" t="b" s="25">
        <v>0</v>
      </c>
      <c r="B76" t="s" s="26">
        <v>131</v>
      </c>
      <c r="C76" s="208"/>
      <c r="D76" s="28"/>
      <c r="E76" s="93" cm="1">
        <f t="array" ref="E76">IF(A76,D76*G76,0)</f>
        <v>0</v>
      </c>
      <c r="F76" t="s" s="29">
        <v>9</v>
      </c>
      <c r="G76" s="30">
        <v>1</v>
      </c>
      <c r="H76" s="31"/>
      <c r="I76" s="32"/>
      <c r="J76" s="2"/>
      <c r="K76" s="2"/>
      <c r="L76" s="140"/>
    </row>
    <row r="77" ht="19.65" customHeight="1">
      <c r="A77" t="b" s="25">
        <v>0</v>
      </c>
      <c r="B77" t="s" s="26">
        <v>132</v>
      </c>
      <c r="C77" s="208"/>
      <c r="D77" s="28"/>
      <c r="E77" s="93" cm="1">
        <f t="array" ref="E77">IF(A77,D77*G77,0)</f>
        <v>0</v>
      </c>
      <c r="F77" t="s" s="29">
        <v>9</v>
      </c>
      <c r="G77" s="30">
        <v>1</v>
      </c>
      <c r="H77" s="31"/>
      <c r="I77" s="32"/>
      <c r="J77" s="2"/>
      <c r="K77" s="2"/>
      <c r="L77" s="140"/>
    </row>
    <row r="78" ht="19.65" customHeight="1">
      <c r="A78" t="b" s="25">
        <v>0</v>
      </c>
      <c r="B78" t="s" s="26">
        <v>133</v>
      </c>
      <c r="C78" s="208"/>
      <c r="D78" s="28"/>
      <c r="E78" s="93" cm="1">
        <f t="array" ref="E78">IF(A78,D78*G78,0)</f>
        <v>0</v>
      </c>
      <c r="F78" t="s" s="29">
        <v>9</v>
      </c>
      <c r="G78" s="30">
        <v>1</v>
      </c>
      <c r="H78" s="58"/>
      <c r="I78" s="32"/>
      <c r="J78" s="2"/>
      <c r="K78" s="2"/>
      <c r="L78" s="140"/>
    </row>
    <row r="79" ht="19.65" customHeight="1">
      <c r="A79" t="b" s="25">
        <v>0</v>
      </c>
      <c r="B79" t="s" s="26">
        <v>134</v>
      </c>
      <c r="C79" s="208"/>
      <c r="D79" s="28"/>
      <c r="E79" s="93" cm="1">
        <f t="array" ref="E79">IF(A79,D79*G79,0)</f>
        <v>0</v>
      </c>
      <c r="F79" t="s" s="29">
        <v>9</v>
      </c>
      <c r="G79" s="30">
        <v>1</v>
      </c>
      <c r="H79" s="31"/>
      <c r="I79" s="32"/>
      <c r="J79" s="2"/>
      <c r="K79" s="2"/>
      <c r="L79" s="140"/>
    </row>
    <row r="80" ht="19.65" customHeight="1">
      <c r="A80" t="b" s="25">
        <v>0</v>
      </c>
      <c r="B80" t="s" s="26">
        <v>109</v>
      </c>
      <c r="C80" s="208"/>
      <c r="D80" s="28"/>
      <c r="E80" s="93" cm="1">
        <f t="array" ref="E80">IF(A80,D80*G80,0)</f>
        <v>0</v>
      </c>
      <c r="F80" t="s" s="29">
        <v>9</v>
      </c>
      <c r="G80" s="30">
        <v>1</v>
      </c>
      <c r="H80" s="31"/>
      <c r="I80" s="32"/>
      <c r="J80" s="2"/>
      <c r="K80" s="2"/>
      <c r="L80" s="140"/>
    </row>
    <row r="81" ht="19.65" customHeight="1">
      <c r="A81" t="b" s="25">
        <v>0</v>
      </c>
      <c r="B81" s="211"/>
      <c r="C81" s="208"/>
      <c r="D81" s="28"/>
      <c r="E81" s="93" cm="1">
        <f t="array" ref="E81">IF(A81,D81*G81,0)</f>
        <v>0</v>
      </c>
      <c r="F81" t="s" s="29">
        <v>9</v>
      </c>
      <c r="G81" s="30">
        <v>1</v>
      </c>
      <c r="H81" s="31"/>
      <c r="I81" s="32"/>
      <c r="J81" s="2"/>
      <c r="K81" s="2"/>
      <c r="L81" s="140"/>
    </row>
    <row r="82" ht="19.65" customHeight="1">
      <c r="A82" t="b" s="25">
        <v>0</v>
      </c>
      <c r="B82" s="212"/>
      <c r="C82" s="213"/>
      <c r="D82" s="214"/>
      <c r="E82" s="93" cm="1">
        <f t="array" ref="E82">IF(A82,D82*G82,0)</f>
        <v>0</v>
      </c>
      <c r="F82" t="s" s="29">
        <v>9</v>
      </c>
      <c r="G82" s="30">
        <v>1</v>
      </c>
      <c r="H82" s="31"/>
      <c r="I82" s="32"/>
      <c r="J82" s="2"/>
      <c r="K82" s="2"/>
      <c r="L82" s="140"/>
    </row>
    <row r="83" ht="19.65" customHeight="1">
      <c r="A83" t="b" s="25">
        <v>0</v>
      </c>
      <c r="B83" s="154"/>
      <c r="C83" s="155"/>
      <c r="D83" s="156"/>
      <c r="E83" s="106" cm="1">
        <f t="array" ref="E83">IF(A83,D83*G83,0)</f>
        <v>0</v>
      </c>
      <c r="F83" t="s" s="29">
        <v>9</v>
      </c>
      <c r="G83" s="107">
        <v>1</v>
      </c>
      <c r="H83" s="31"/>
      <c r="I83" s="32"/>
      <c r="J83" s="2"/>
      <c r="K83" s="2"/>
      <c r="L83" s="140"/>
    </row>
    <row r="84" ht="18.85" customHeight="1">
      <c r="A84" s="46"/>
      <c r="B84" s="47"/>
      <c r="C84" s="48"/>
      <c r="D84" t="s" s="49">
        <v>14</v>
      </c>
      <c r="E84" s="50" cm="1">
        <f t="array" ref="E84">SUM(E74:E83/16)</f>
        <v>0</v>
      </c>
      <c r="F84" t="s" s="51">
        <v>15</v>
      </c>
      <c r="G84" s="52"/>
      <c r="H84" s="31"/>
      <c r="I84" s="32"/>
      <c r="J84" s="2"/>
      <c r="K84" s="2"/>
      <c r="L84" s="140"/>
    </row>
    <row r="85" ht="19.4" customHeight="1">
      <c r="A85" t="s" s="215">
        <v>1</v>
      </c>
      <c r="B85" t="s" s="216">
        <v>59</v>
      </c>
      <c r="C85" t="s" s="217">
        <v>17</v>
      </c>
      <c r="D85" t="s" s="218">
        <v>4</v>
      </c>
      <c r="E85" t="s" s="219">
        <v>5</v>
      </c>
      <c r="F85" t="s" s="219">
        <v>6</v>
      </c>
      <c r="G85" t="s" s="220">
        <v>7</v>
      </c>
      <c r="H85" s="31"/>
      <c r="I85" s="32"/>
      <c r="J85" s="2"/>
      <c r="K85" s="2"/>
      <c r="L85" s="140"/>
    </row>
    <row r="86" ht="19.65" customHeight="1">
      <c r="A86" t="b" s="25">
        <v>0</v>
      </c>
      <c r="B86" t="s" s="90">
        <v>135</v>
      </c>
      <c r="C86" t="s" s="221">
        <v>136</v>
      </c>
      <c r="D86" s="222">
        <v>3.200000000000001</v>
      </c>
      <c r="E86" s="223" cm="1">
        <f t="array" ref="E86">IF(A86,D86*G86,0)</f>
        <v>0</v>
      </c>
      <c r="F86" t="s" s="91">
        <v>9</v>
      </c>
      <c r="G86" s="107">
        <v>1</v>
      </c>
      <c r="H86" s="58"/>
      <c r="I86" s="32"/>
      <c r="J86" s="2"/>
      <c r="K86" s="2"/>
      <c r="L86" s="140"/>
    </row>
    <row r="87" ht="19.65" customHeight="1">
      <c r="A87" t="b" s="25">
        <v>0</v>
      </c>
      <c r="B87" t="s" s="104">
        <v>135</v>
      </c>
      <c r="C87" t="s" s="221">
        <v>137</v>
      </c>
      <c r="D87" s="119">
        <v>1.2</v>
      </c>
      <c r="E87" s="224" cm="1">
        <f t="array" ref="E87">IF(A87,D87*G87,0)</f>
        <v>0</v>
      </c>
      <c r="F87" t="s" s="225">
        <v>9</v>
      </c>
      <c r="G87" s="170">
        <v>1</v>
      </c>
      <c r="H87" s="31"/>
      <c r="I87" s="32"/>
      <c r="J87" s="2"/>
      <c r="K87" s="2"/>
      <c r="L87" s="140"/>
    </row>
    <row r="88" ht="19.65" customHeight="1">
      <c r="A88" t="b" s="25">
        <v>0</v>
      </c>
      <c r="B88" t="s" s="90">
        <v>138</v>
      </c>
      <c r="C88" t="s" s="226">
        <v>139</v>
      </c>
      <c r="D88" s="28">
        <v>2.5</v>
      </c>
      <c r="E88" s="62" cm="1">
        <f t="array" ref="E88">IF(A88,D88*G88,0)</f>
        <v>0</v>
      </c>
      <c r="F88" t="s" s="29">
        <v>9</v>
      </c>
      <c r="G88" s="30">
        <v>1</v>
      </c>
      <c r="H88" s="31"/>
      <c r="I88" s="32"/>
      <c r="J88" s="2"/>
      <c r="K88" s="2"/>
      <c r="L88" s="140"/>
    </row>
    <row r="89" ht="19.65" customHeight="1">
      <c r="A89" t="b" s="25">
        <v>0</v>
      </c>
      <c r="B89" t="s" s="104">
        <v>140</v>
      </c>
      <c r="C89" t="s" s="168">
        <v>141</v>
      </c>
      <c r="D89" s="148">
        <v>2.4</v>
      </c>
      <c r="E89" s="93" cm="1">
        <f t="array" ref="E89">IF(A89,D89*G89,0)</f>
        <v>0</v>
      </c>
      <c r="F89" t="s" s="91">
        <v>9</v>
      </c>
      <c r="G89" s="30">
        <v>1</v>
      </c>
      <c r="H89" s="31"/>
      <c r="I89" s="32"/>
      <c r="J89" s="2"/>
      <c r="K89" s="2"/>
      <c r="L89" s="140"/>
    </row>
    <row r="90" ht="19.65" customHeight="1">
      <c r="A90" t="b" s="25">
        <v>0</v>
      </c>
      <c r="B90" t="s" s="171">
        <v>142</v>
      </c>
      <c r="C90" t="s" s="43">
        <v>143</v>
      </c>
      <c r="D90" s="172">
        <v>0.25</v>
      </c>
      <c r="E90" s="93" cm="1">
        <f t="array" ref="E90">IF(A90,D90*G90,0)</f>
        <v>0</v>
      </c>
      <c r="F90" t="s" s="225">
        <v>9</v>
      </c>
      <c r="G90" s="30">
        <v>1</v>
      </c>
      <c r="H90" s="31"/>
      <c r="I90" s="32"/>
      <c r="J90" s="2"/>
      <c r="K90" s="2"/>
      <c r="L90" s="140"/>
    </row>
    <row r="91" ht="19.65" customHeight="1">
      <c r="A91" t="b" s="25">
        <v>0</v>
      </c>
      <c r="B91" s="171"/>
      <c r="C91" s="43"/>
      <c r="D91" s="172"/>
      <c r="E91" s="93" cm="1">
        <f t="array" ref="E91">IF(A91,D91*G91,0)</f>
        <v>0</v>
      </c>
      <c r="F91" t="s" s="29">
        <v>9</v>
      </c>
      <c r="G91" s="30">
        <v>1</v>
      </c>
      <c r="H91" s="31"/>
      <c r="I91" s="32"/>
      <c r="J91" s="2"/>
      <c r="K91" s="2"/>
      <c r="L91" s="140"/>
    </row>
    <row r="92" ht="19.7" customHeight="1">
      <c r="A92" s="46"/>
      <c r="B92" s="47"/>
      <c r="C92" s="48"/>
      <c r="D92" t="s" s="49">
        <v>14</v>
      </c>
      <c r="E92" s="227" cm="1">
        <f t="array" ref="E92">SUM(E86:E91/16)</f>
        <v>0</v>
      </c>
      <c r="F92" t="s" s="228">
        <v>15</v>
      </c>
      <c r="G92" s="229"/>
      <c r="H92" s="31"/>
      <c r="I92" s="32"/>
      <c r="J92" s="2"/>
      <c r="K92" s="2"/>
      <c r="L92" s="140"/>
    </row>
    <row r="93" ht="19" customHeight="1">
      <c r="A93" t="s" s="230">
        <v>1</v>
      </c>
      <c r="B93" t="s" s="231">
        <v>62</v>
      </c>
      <c r="C93" t="s" s="232">
        <v>17</v>
      </c>
      <c r="D93" t="s" s="233">
        <v>4</v>
      </c>
      <c r="E93" t="s" s="234">
        <v>5</v>
      </c>
      <c r="F93" t="s" s="234">
        <v>6</v>
      </c>
      <c r="G93" t="s" s="235">
        <v>7</v>
      </c>
      <c r="H93" s="31"/>
      <c r="I93" s="32"/>
      <c r="J93" s="2"/>
      <c r="K93" s="2"/>
      <c r="L93" s="140"/>
    </row>
    <row r="94" ht="19.65" customHeight="1">
      <c r="A94" t="b" s="25">
        <v>0</v>
      </c>
      <c r="B94" t="s" s="26">
        <v>144</v>
      </c>
      <c r="C94" t="s" s="27">
        <v>145</v>
      </c>
      <c r="D94" s="119">
        <v>7</v>
      </c>
      <c r="E94" s="62" cm="1">
        <f t="array" ref="E94">IF(A94,D94*G94,0)</f>
        <v>0</v>
      </c>
      <c r="F94" t="s" s="29">
        <v>9</v>
      </c>
      <c r="G94" s="30">
        <v>1</v>
      </c>
      <c r="H94" s="31"/>
      <c r="I94" s="32"/>
      <c r="J94" s="2"/>
      <c r="K94" s="2"/>
      <c r="L94" s="140"/>
    </row>
    <row r="95" ht="19.65" customHeight="1">
      <c r="A95" t="b" s="25">
        <v>0</v>
      </c>
      <c r="B95" t="s" s="26">
        <v>146</v>
      </c>
      <c r="C95" t="s" s="236">
        <v>147</v>
      </c>
      <c r="D95" s="28">
        <v>4.2</v>
      </c>
      <c r="E95" s="62" cm="1">
        <f t="array" ref="E95">IF(A95,D95*G95,0)</f>
        <v>0</v>
      </c>
      <c r="F95" t="s" s="29">
        <v>9</v>
      </c>
      <c r="G95" s="30">
        <v>1</v>
      </c>
      <c r="H95" s="31"/>
      <c r="I95" s="32"/>
      <c r="J95" s="2"/>
      <c r="K95" s="2"/>
      <c r="L95" s="140"/>
    </row>
    <row r="96" ht="19.65" customHeight="1">
      <c r="A96" t="b" s="25">
        <v>0</v>
      </c>
      <c r="B96" t="s" s="26">
        <v>148</v>
      </c>
      <c r="C96" t="s" s="27">
        <v>149</v>
      </c>
      <c r="D96" s="28">
        <v>2.6</v>
      </c>
      <c r="E96" s="62" cm="1">
        <f t="array" ref="E96">IF(A96,D96*G96,0)</f>
        <v>0</v>
      </c>
      <c r="F96" t="s" s="29">
        <v>9</v>
      </c>
      <c r="G96" s="30">
        <v>1</v>
      </c>
      <c r="H96" s="58"/>
      <c r="I96" s="32"/>
      <c r="J96" s="2"/>
      <c r="K96" s="2"/>
      <c r="L96" s="140"/>
    </row>
    <row r="97" ht="19.65" customHeight="1">
      <c r="A97" t="b" s="25">
        <v>0</v>
      </c>
      <c r="B97" t="s" s="26">
        <v>150</v>
      </c>
      <c r="C97" t="s" s="27">
        <v>151</v>
      </c>
      <c r="D97" s="28">
        <v>2.3</v>
      </c>
      <c r="E97" s="62" cm="1">
        <f t="array" ref="E97">IF(A97,D97*G97,0)</f>
        <v>0</v>
      </c>
      <c r="F97" t="s" s="29">
        <v>9</v>
      </c>
      <c r="G97" s="30">
        <v>1</v>
      </c>
      <c r="H97" s="31"/>
      <c r="I97" s="32"/>
      <c r="J97" s="2"/>
      <c r="K97" s="2"/>
      <c r="L97" s="140"/>
    </row>
    <row r="98" ht="19.65" customHeight="1">
      <c r="A98" t="b" s="25">
        <v>0</v>
      </c>
      <c r="B98" t="s" s="26">
        <v>152</v>
      </c>
      <c r="C98" t="s" s="27">
        <v>153</v>
      </c>
      <c r="D98" s="28">
        <v>16.8</v>
      </c>
      <c r="E98" s="93" cm="1">
        <f t="array" ref="E98">IF(A98,D98*G98,0)</f>
        <v>0</v>
      </c>
      <c r="F98" t="s" s="29">
        <v>9</v>
      </c>
      <c r="G98" s="30">
        <v>1</v>
      </c>
      <c r="H98" s="31"/>
      <c r="I98" s="32"/>
      <c r="J98" s="2"/>
      <c r="K98" s="2"/>
      <c r="L98" s="140"/>
    </row>
    <row r="99" ht="19.65" customHeight="1">
      <c r="A99" t="b" s="25">
        <v>0</v>
      </c>
      <c r="B99" t="s" s="26">
        <v>154</v>
      </c>
      <c r="C99" t="s" s="27">
        <v>155</v>
      </c>
      <c r="D99" s="28">
        <v>10</v>
      </c>
      <c r="E99" s="62" cm="1">
        <f t="array" ref="E99">IF(A99,D99*G99,0)</f>
        <v>0</v>
      </c>
      <c r="F99" t="s" s="29">
        <v>9</v>
      </c>
      <c r="G99" s="30">
        <v>1</v>
      </c>
      <c r="H99" s="31"/>
      <c r="I99" s="32"/>
      <c r="J99" s="2"/>
      <c r="K99" s="2"/>
      <c r="L99" s="140"/>
    </row>
    <row r="100" ht="19.65" customHeight="1">
      <c r="A100" t="b" s="25">
        <v>0</v>
      </c>
      <c r="B100" t="s" s="26">
        <v>156</v>
      </c>
      <c r="C100" t="s" s="96">
        <v>157</v>
      </c>
      <c r="D100" s="196">
        <v>9.199999999999999</v>
      </c>
      <c r="E100" s="93" cm="1">
        <f t="array" ref="E100">IF(A100,D100*G100,0)</f>
        <v>0</v>
      </c>
      <c r="F100" t="s" s="91">
        <v>9</v>
      </c>
      <c r="G100" s="107">
        <v>1</v>
      </c>
      <c r="H100" s="31"/>
      <c r="I100" s="32"/>
      <c r="J100" s="2"/>
      <c r="K100" s="2"/>
      <c r="L100" s="140"/>
    </row>
    <row r="101" ht="19.65" customHeight="1">
      <c r="A101" t="b" s="25">
        <v>0</v>
      </c>
      <c r="B101" t="s" s="26">
        <v>156</v>
      </c>
      <c r="C101" t="s" s="237">
        <v>158</v>
      </c>
      <c r="D101" s="197">
        <v>4</v>
      </c>
      <c r="E101" s="93" cm="1">
        <f t="array" ref="E101">IF(A101,D101*G101,0)</f>
        <v>0</v>
      </c>
      <c r="F101" t="s" s="225">
        <v>9</v>
      </c>
      <c r="G101" s="170">
        <v>1</v>
      </c>
      <c r="H101" s="31"/>
      <c r="I101" s="32"/>
      <c r="J101" s="2"/>
      <c r="K101" s="2"/>
      <c r="L101" s="140"/>
    </row>
    <row r="102" ht="19.65" customHeight="1">
      <c r="A102" t="b" s="25">
        <v>0</v>
      </c>
      <c r="B102" s="154"/>
      <c r="C102" s="238"/>
      <c r="D102" s="156"/>
      <c r="E102" s="93" cm="1">
        <f t="array" ref="E102">IF(A102,D102*G102,0)</f>
        <v>0</v>
      </c>
      <c r="F102" t="s" s="239">
        <v>9</v>
      </c>
      <c r="G102" s="30">
        <v>1</v>
      </c>
      <c r="H102" s="31"/>
      <c r="I102" s="32"/>
      <c r="J102" s="2"/>
      <c r="K102" s="2"/>
      <c r="L102" s="140"/>
    </row>
    <row r="103" ht="19.05" customHeight="1">
      <c r="A103" s="46"/>
      <c r="B103" s="47"/>
      <c r="C103" s="48"/>
      <c r="D103" t="s" s="49">
        <v>14</v>
      </c>
      <c r="E103" s="227" cm="1">
        <f t="array" ref="E103">SUM(E94:E102/16)</f>
        <v>0</v>
      </c>
      <c r="F103" t="s" s="228">
        <v>15</v>
      </c>
      <c r="G103" s="229"/>
      <c r="H103" s="58"/>
      <c r="I103" s="32"/>
      <c r="J103" s="2"/>
      <c r="K103" s="2"/>
      <c r="L103" s="140"/>
    </row>
    <row r="104" ht="19.45" customHeight="1">
      <c r="A104" t="s" s="240">
        <v>1</v>
      </c>
      <c r="B104" t="s" s="241">
        <v>65</v>
      </c>
      <c r="C104" t="s" s="242">
        <v>17</v>
      </c>
      <c r="D104" t="s" s="243">
        <v>4</v>
      </c>
      <c r="E104" t="s" s="243">
        <v>5</v>
      </c>
      <c r="F104" t="s" s="243">
        <v>6</v>
      </c>
      <c r="G104" t="s" s="244">
        <v>7</v>
      </c>
      <c r="H104" s="31"/>
      <c r="I104" s="32"/>
      <c r="J104" s="2"/>
      <c r="K104" s="2"/>
      <c r="L104" s="140"/>
    </row>
    <row r="105" ht="19.65" customHeight="1">
      <c r="A105" t="b" s="25">
        <v>0</v>
      </c>
      <c r="B105" s="26"/>
      <c r="C105" s="27"/>
      <c r="D105" s="28"/>
      <c r="E105" s="62" cm="1">
        <f t="array" ref="E105">IF(A105,D105*G105,0)</f>
        <v>0</v>
      </c>
      <c r="F105" t="s" s="29">
        <v>9</v>
      </c>
      <c r="G105" s="30">
        <v>1</v>
      </c>
      <c r="H105" s="31"/>
      <c r="I105" s="32"/>
      <c r="J105" s="2"/>
      <c r="K105" s="2"/>
      <c r="L105" s="140"/>
    </row>
    <row r="106" ht="19.65" customHeight="1">
      <c r="A106" t="b" s="25">
        <v>0</v>
      </c>
      <c r="B106" s="90"/>
      <c r="C106" s="96"/>
      <c r="D106" s="196"/>
      <c r="E106" s="223" cm="1">
        <f t="array" ref="E106">IF(A106,D106*G106,0)</f>
        <v>0</v>
      </c>
      <c r="F106" t="s" s="91">
        <v>9</v>
      </c>
      <c r="G106" s="107">
        <v>1</v>
      </c>
      <c r="H106" s="31"/>
      <c r="I106" s="32"/>
      <c r="J106" s="2"/>
      <c r="K106" s="2"/>
      <c r="L106" s="140"/>
    </row>
    <row r="107" ht="19.65" customHeight="1">
      <c r="A107" t="b" s="25">
        <v>0</v>
      </c>
      <c r="B107" s="104"/>
      <c r="C107" s="245"/>
      <c r="D107" s="119"/>
      <c r="E107" s="224" cm="1">
        <f t="array" ref="E107">IF(A107,D107*G107,0)</f>
        <v>0</v>
      </c>
      <c r="F107" t="s" s="225">
        <v>9</v>
      </c>
      <c r="G107" s="170">
        <v>1</v>
      </c>
      <c r="H107" s="58"/>
      <c r="I107" s="32"/>
      <c r="J107" s="2"/>
      <c r="K107" s="2"/>
      <c r="L107" s="140"/>
    </row>
    <row r="108" ht="19.65" customHeight="1">
      <c r="A108" t="b" s="25">
        <v>0</v>
      </c>
      <c r="B108" s="154"/>
      <c r="C108" s="154"/>
      <c r="D108" s="246"/>
      <c r="E108" s="93" cm="1">
        <f t="array" ref="E108">IF(A108,D108*G108,0)</f>
        <v>0</v>
      </c>
      <c r="F108" t="s" s="29">
        <v>9</v>
      </c>
      <c r="G108" s="30">
        <v>1</v>
      </c>
      <c r="H108" s="31"/>
      <c r="I108" s="32"/>
      <c r="J108" s="2"/>
      <c r="K108" s="2"/>
      <c r="L108" s="140"/>
    </row>
    <row r="109" ht="19.65" customHeight="1">
      <c r="A109" t="b" s="25">
        <v>0</v>
      </c>
      <c r="B109" s="154"/>
      <c r="C109" s="154"/>
      <c r="D109" s="246"/>
      <c r="E109" s="93" cm="1">
        <f t="array" ref="E109">IF(A109,D109*G109,0)</f>
        <v>0</v>
      </c>
      <c r="F109" t="s" s="29">
        <v>9</v>
      </c>
      <c r="G109" s="30">
        <v>1</v>
      </c>
      <c r="H109" s="58"/>
      <c r="I109" s="32"/>
      <c r="J109" s="2"/>
      <c r="K109" s="2"/>
      <c r="L109" s="140"/>
    </row>
    <row r="110" ht="19.65" customHeight="1">
      <c r="A110" t="b" s="25">
        <v>0</v>
      </c>
      <c r="B110" s="154"/>
      <c r="C110" s="154"/>
      <c r="D110" s="246"/>
      <c r="E110" s="106" cm="1">
        <f t="array" ref="E110">IF(A110,D110*G110,0)</f>
        <v>0</v>
      </c>
      <c r="F110" t="s" s="29">
        <v>9</v>
      </c>
      <c r="G110" s="107">
        <v>1</v>
      </c>
      <c r="H110" s="31"/>
      <c r="I110" s="32"/>
      <c r="J110" s="2"/>
      <c r="K110" s="2"/>
      <c r="L110" s="140"/>
    </row>
    <row r="111" ht="20.2" customHeight="1">
      <c r="A111" s="46"/>
      <c r="B111" s="47"/>
      <c r="C111" s="48"/>
      <c r="D111" t="s" s="49">
        <v>14</v>
      </c>
      <c r="E111" s="50" cm="1">
        <f t="array" ref="E111">SUM(E105:E110/16)</f>
        <v>0</v>
      </c>
      <c r="F111" t="s" s="51">
        <v>15</v>
      </c>
      <c r="G111" s="52"/>
      <c r="H111" s="247"/>
      <c r="I111" s="13"/>
      <c r="J111" s="10"/>
      <c r="K111" s="10"/>
      <c r="L111" s="248"/>
    </row>
  </sheetData>
  <mergeCells count="2">
    <mergeCell ref="B1:K1"/>
    <mergeCell ref="B2:G2"/>
  </mergeCells>
  <hyperlinks>
    <hyperlink ref="C4" r:id="rId1" location="" tooltip="" display="ULA Ultra Circuit"/>
    <hyperlink ref="C5" r:id="rId2" location="" tooltip="" display="Zpacks Nero Classic Backpack"/>
    <hyperlink ref="C6" r:id="rId3" location="" tooltip="" display="Durston Wapta 30"/>
    <hyperlink ref="C7" r:id="rId4" location="" tooltip="" display="18G Compactor Bag"/>
    <hyperlink ref="C10" r:id="rId5" location="" tooltip="" display="Zpacks Free-Zip 2 with poles / repair kit"/>
    <hyperlink ref="C11" r:id="rId6" location="" tooltip="" display="Zpacks Nylo Pro Groundsheet 5' x 8’"/>
    <hyperlink ref="C12" r:id="rId7" location="" tooltip="" display="Easton Nano"/>
    <hyperlink ref="C14" r:id="rId8" location="" tooltip="" display="Hilltop Tent Stake Bag"/>
    <hyperlink ref="C16" r:id="rId9" location="" tooltip="" display="Zpacks 8.5' x 10' Flat Tarp"/>
    <hyperlink ref="C17" r:id="rId10" location="" tooltip="" display="Gear Swifts DCF Ponch/Tarp"/>
    <hyperlink ref="C18" r:id="rId11" location="" tooltip="" display="Six Moons Ponch/Tarp"/>
    <hyperlink ref="C19" r:id="rId12" location="" tooltip="" display="Ounce Design Adobi DCF Tarp"/>
    <hyperlink ref="C22" r:id="rId13" location="" tooltip="" display="UGQ Bandit 10F"/>
    <hyperlink ref="C23" r:id="rId14" location="" tooltip="" display="Enlightened Equipment 30F"/>
    <hyperlink ref="C24" r:id="rId15" location="" tooltip="" display="Emergency Sleeping Bag Thermal Bivvy"/>
    <hyperlink ref="C25" r:id="rId16" location="" tooltip="" display="Paria Elevate S insulated sleeping pad"/>
    <hyperlink ref="C26" r:id="rId17" location="" tooltip="" display="Nemo Switchback Short"/>
    <hyperlink ref="C30" r:id="rId18" location="" tooltip="" display="Enlightened Torid Jacket"/>
    <hyperlink ref="C31" r:id="rId19" location="" tooltip="" display="Timmermade SDUL .75 Down Sweater"/>
    <hyperlink ref="C32" r:id="rId20" location="" tooltip="" display="Timmermade SUL Down Pants"/>
    <hyperlink ref="C33" r:id="rId21" location="" tooltip="" display="Zpacks Octa Fleece Hoody"/>
    <hyperlink ref="C34" r:id="rId22" location="" tooltip="" display="Outdoor Vitals Nebo Windbreaker"/>
    <hyperlink ref="C35" r:id="rId23" location="" tooltip="" display="Montbell Tachyon Pants"/>
    <hyperlink ref="C36" r:id="rId24" location="" tooltip="" display="Zpacks Brushtail Possum Socks"/>
    <hyperlink ref="C37" r:id="rId25" location="" tooltip="" display="Zpacks Octa Fleece Camp Pants"/>
    <hyperlink ref="C38" r:id="rId26" location="" tooltip="" display="Zpacks Octa Fleece Gaiter"/>
    <hyperlink ref="C39" r:id="rId27" location="" tooltip="" display="Enlightened Equipment Visp rain coat"/>
    <hyperlink ref="C40" r:id="rId28" location="" tooltip="" display="Zpacks Men's Vertice Rain Pants"/>
    <hyperlink ref="C42" r:id="rId29" location="" tooltip="" display="Goosefeet Balaclava"/>
    <hyperlink ref="C43" r:id="rId30" location="" tooltip="" display="Goosefeet Down Socks"/>
    <hyperlink ref="C44" r:id="rId31" location="" tooltip="" display="Emergency Survival Foil Poncho"/>
    <hyperlink ref="C48" r:id="rId32" location="" tooltip="" display="Fire-Maple Petrel G3 600ml HX Pot"/>
    <hyperlink ref="C49" r:id="rId33" location="" tooltip="" display="TOAKS Titanium Long Handle Spoon"/>
    <hyperlink ref="C50" r:id="rId34" location="" tooltip="" display="MSR PocketRocket Deluxe"/>
    <hyperlink ref="C55" r:id="rId35" location="" tooltip="" display="Adotec Grzzly 20L"/>
    <hyperlink ref="C57" r:id="rId36" location="" tooltip="" display="Weekender Bearikade 20L"/>
    <hyperlink ref="C60" r:id="rId37" location="" tooltip="" display="INIU 10k power bankched USB-C"/>
    <hyperlink ref="C61" r:id="rId38" location="" tooltip="" display="UGREEN 25k Power Bank"/>
    <hyperlink ref="C62" r:id="rId39" location="" tooltip="" display="Fuji XT4 with 16-18mm"/>
    <hyperlink ref="C64" r:id="rId40" location="" tooltip="" display="Nitecore NU25"/>
    <hyperlink ref="C65" r:id="rId41" location="" tooltip="" display="ChubbyCable MagCore 65W"/>
    <hyperlink ref="C68" r:id="rId42" location="" tooltip="" display="Hilltop Ultralight Ditty Bag"/>
    <hyperlink ref="C69" r:id="rId43" location="" tooltip="" display="Rokie Talky Mountain Radio"/>
    <hyperlink ref="C70" r:id="rId44" location="" tooltip="" display="GIGA Pump"/>
    <hyperlink ref="C71" r:id="rId45" location="" tooltip="" display="Govee Bluetooth Thermometer"/>
    <hyperlink ref="C86" r:id="rId46" location="" tooltip="" display="CNOC water bottle 1L"/>
    <hyperlink ref="C88" r:id="rId47" location="" tooltip="" display="CNOC Vecto 2L"/>
    <hyperlink ref="C89" r:id="rId48" location="" tooltip="" display="Platypus Quickdraw"/>
    <hyperlink ref="C94" r:id="rId49" location="" tooltip="" display="Zpacks Mirage Merino Sun Hoody"/>
    <hyperlink ref="C95" r:id="rId50" location="" tooltip="" display="Pudolla Men’s Running Shorts"/>
    <hyperlink ref="C97" r:id="rId51" location="" tooltip="" display="Creepers toe socks"/>
    <hyperlink ref="C98" r:id="rId52" location="" tooltip="" display="Topo Mtn 4 size 12"/>
    <hyperlink ref="C99" r:id="rId53" location="" tooltip="" display="Bedrock Cairn Evo 3D PRO"/>
    <hyperlink ref="C101" r:id="rId54" location="" tooltip="" display="OKHEALING Carbon Hiking Poles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5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4bb40"/>
  </sheetPr>
  <dimension ref="A2:H71"/>
  <sheetViews>
    <sheetView workbookViewId="0" showGridLines="0" defaultGridColor="1">
      <pane topLeftCell="A4" xSplit="0" ySplit="3" activePane="bottomLeft" state="frozen"/>
    </sheetView>
  </sheetViews>
  <sheetFormatPr defaultColWidth="17.7083" defaultRowHeight="18" customHeight="1" outlineLevelRow="0" outlineLevelCol="0"/>
  <cols>
    <col min="1" max="1" width="5.35156" style="249" customWidth="1"/>
    <col min="2" max="2" width="33.7969" style="249" customWidth="1"/>
    <col min="3" max="3" width="5.05469" style="249" customWidth="1"/>
    <col min="4" max="4" width="9" style="249" customWidth="1"/>
    <col min="5" max="5" width="7.17188" style="249" customWidth="1"/>
    <col min="6" max="6" width="9" style="249" customWidth="1"/>
    <col min="7" max="7" width="5.85156" style="249" customWidth="1"/>
    <col min="8" max="8" width="7.85156" style="249" customWidth="1"/>
    <col min="9" max="16384" width="17.7266" style="249" customWidth="1"/>
  </cols>
  <sheetData>
    <row r="1" ht="26" customHeight="1">
      <c r="A1" t="s" s="250">
        <v>159</v>
      </c>
      <c r="B1" s="250"/>
      <c r="C1" s="250"/>
      <c r="D1" s="250"/>
      <c r="E1" s="250"/>
      <c r="F1" s="250"/>
      <c r="G1" s="250"/>
      <c r="H1" s="250"/>
    </row>
    <row r="2" ht="22" customHeight="1">
      <c r="A2" s="251"/>
      <c r="B2" t="s" s="252">
        <v>160</v>
      </c>
      <c r="C2" t="s" s="253">
        <v>7</v>
      </c>
      <c r="D2" t="s" s="253">
        <v>161</v>
      </c>
      <c r="E2" t="s" s="253">
        <v>162</v>
      </c>
      <c r="F2" t="s" s="253">
        <v>163</v>
      </c>
      <c r="G2" t="s" s="253">
        <v>164</v>
      </c>
      <c r="H2" t="s" s="253">
        <v>165</v>
      </c>
    </row>
    <row r="3" ht="18" customHeight="1">
      <c r="A3" s="254"/>
      <c r="B3" t="s" s="255">
        <v>166</v>
      </c>
      <c r="C3" s="256">
        <v>1</v>
      </c>
      <c r="D3" t="s" s="257">
        <v>167</v>
      </c>
      <c r="E3" s="258" cm="1">
        <f t="array" ref="E3">3000*$C$3</f>
        <v>3000</v>
      </c>
      <c r="F3" s="258" cm="1">
        <f t="array" ref="F3">150*$C$3</f>
        <v>150</v>
      </c>
      <c r="G3" s="258" cm="1">
        <f t="array" ref="G3">120*$C$3</f>
        <v>120</v>
      </c>
      <c r="H3" s="258" cm="1">
        <f t="array" ref="H3">330*$C$3</f>
        <v>330</v>
      </c>
    </row>
    <row r="4" ht="18" customHeight="1">
      <c r="A4" t="b" s="25">
        <v>0</v>
      </c>
      <c r="B4" t="s" s="259">
        <v>168</v>
      </c>
      <c r="C4" s="260"/>
      <c r="D4" s="261" cm="1">
        <f t="array" ref="D4">D5+D6+D7+D8+D9+D10+D11+D12*$C$4</f>
        <v>0</v>
      </c>
      <c r="E4" s="261" cm="1">
        <f t="array" ref="E4">E5+E6+E7+E8+E9+E10+E11+E12*$C$4</f>
        <v>0</v>
      </c>
      <c r="F4" s="261" cm="1">
        <f t="array" ref="F4">F5+F6+F7+F8+F9+F10+F11+F12*$C$4</f>
        <v>0</v>
      </c>
      <c r="G4" s="261" cm="1">
        <f t="array" ref="G4">G5+G6+G7+G8+G9+G10+G11+G12*$C$4</f>
        <v>0</v>
      </c>
      <c r="H4" s="261" cm="1">
        <f t="array" ref="H4">H5+H6+H7+H8+H9+H10+H11+H12*$C$4</f>
        <v>0</v>
      </c>
    </row>
    <row r="5" ht="18" customHeight="1">
      <c r="A5" t="b" s="25">
        <v>0</v>
      </c>
      <c r="B5" t="s" s="262">
        <v>169</v>
      </c>
      <c r="C5" s="263"/>
      <c r="D5" s="264">
        <v>54.99999999999999</v>
      </c>
      <c r="E5" s="264">
        <v>206</v>
      </c>
      <c r="F5" s="264">
        <v>6.900000000000001</v>
      </c>
      <c r="G5" s="264">
        <v>4.1</v>
      </c>
      <c r="H5" s="264">
        <v>35.37499999999999</v>
      </c>
    </row>
    <row r="6" ht="18" customHeight="1">
      <c r="A6" t="b" s="25">
        <v>0</v>
      </c>
      <c r="B6" t="s" s="262">
        <v>170</v>
      </c>
      <c r="C6" s="263"/>
      <c r="D6" s="264">
        <v>25</v>
      </c>
      <c r="E6" s="264">
        <v>133</v>
      </c>
      <c r="F6" s="264">
        <v>6</v>
      </c>
      <c r="G6" s="264">
        <v>9</v>
      </c>
      <c r="H6" s="264">
        <v>7</v>
      </c>
    </row>
    <row r="7" ht="18" customHeight="1">
      <c r="A7" t="b" s="25">
        <v>0</v>
      </c>
      <c r="B7" t="s" s="262">
        <v>171</v>
      </c>
      <c r="C7" s="263"/>
      <c r="D7" s="264">
        <v>28</v>
      </c>
      <c r="E7" s="264">
        <v>110</v>
      </c>
      <c r="F7" s="264">
        <v>25.5</v>
      </c>
      <c r="G7" s="264">
        <v>0.4</v>
      </c>
      <c r="H7" s="264">
        <v>1.1</v>
      </c>
    </row>
    <row r="8" ht="18" customHeight="1">
      <c r="A8" t="b" s="25">
        <v>0</v>
      </c>
      <c r="B8" t="s" s="262">
        <v>172</v>
      </c>
      <c r="C8" s="263"/>
      <c r="D8" s="264">
        <v>5</v>
      </c>
      <c r="E8" s="264">
        <v>34.99999999999999</v>
      </c>
      <c r="F8" s="264">
        <v>0.25</v>
      </c>
      <c r="G8" s="264">
        <v>3.35</v>
      </c>
      <c r="H8" s="264">
        <v>0.9625</v>
      </c>
    </row>
    <row r="9" ht="18" customHeight="1">
      <c r="A9" t="b" s="25">
        <v>0</v>
      </c>
      <c r="B9" t="s" s="262">
        <v>173</v>
      </c>
      <c r="C9" s="263"/>
      <c r="D9" s="264">
        <v>15</v>
      </c>
      <c r="E9" s="264">
        <v>104</v>
      </c>
      <c r="F9" s="264">
        <v>1.4</v>
      </c>
      <c r="G9" s="264">
        <v>10.8</v>
      </c>
      <c r="H9" s="264">
        <v>0.2999999999999999</v>
      </c>
    </row>
    <row r="10" ht="18" customHeight="1">
      <c r="A10" t="b" s="25">
        <v>0</v>
      </c>
      <c r="B10" t="s" s="262">
        <v>174</v>
      </c>
      <c r="C10" s="263"/>
      <c r="D10" s="264">
        <v>9</v>
      </c>
      <c r="E10" s="264">
        <v>59.99999999999999</v>
      </c>
      <c r="F10" s="264">
        <v>0</v>
      </c>
      <c r="G10" s="264">
        <v>4.5</v>
      </c>
      <c r="H10" s="264">
        <v>4.875</v>
      </c>
    </row>
    <row r="11" ht="18" customHeight="1">
      <c r="A11" t="b" s="25">
        <v>0</v>
      </c>
      <c r="B11" t="s" s="262">
        <v>175</v>
      </c>
      <c r="C11" s="263"/>
      <c r="D11" s="264">
        <v>32.99999999999999</v>
      </c>
      <c r="E11" s="264">
        <v>124</v>
      </c>
      <c r="F11" s="264">
        <v>0</v>
      </c>
      <c r="G11" s="264">
        <v>0</v>
      </c>
      <c r="H11" s="264">
        <v>31</v>
      </c>
    </row>
    <row r="12" ht="18" customHeight="1">
      <c r="A12" t="b" s="25">
        <v>0</v>
      </c>
      <c r="B12" t="s" s="262">
        <v>176</v>
      </c>
      <c r="C12" s="263"/>
      <c r="D12" s="264">
        <v>5</v>
      </c>
      <c r="E12" s="264">
        <v>24</v>
      </c>
      <c r="F12" s="264">
        <v>0.8499999999999999</v>
      </c>
      <c r="G12" s="264">
        <v>1.55</v>
      </c>
      <c r="H12" s="264">
        <v>1.6625</v>
      </c>
    </row>
    <row r="13" ht="18" customHeight="1">
      <c r="A13" s="265"/>
      <c r="B13" s="266"/>
      <c r="C13" s="267"/>
      <c r="D13" s="267"/>
      <c r="E13" s="267"/>
      <c r="F13" s="267"/>
      <c r="G13" s="267"/>
      <c r="H13" s="267"/>
    </row>
    <row r="14" ht="18" customHeight="1">
      <c r="A14" t="b" s="25">
        <v>0</v>
      </c>
      <c r="B14" t="s" s="259">
        <v>177</v>
      </c>
      <c r="C14" s="260"/>
      <c r="D14" s="261" cm="1">
        <f t="array" ref="D14">D15+D16+D17+D18*$C$14</f>
        <v>0</v>
      </c>
      <c r="E14" s="261" cm="1">
        <f t="array" ref="E14">E15+E16+E17+E18*$C$14</f>
        <v>0</v>
      </c>
      <c r="F14" s="261" cm="1">
        <f t="array" ref="F14">F15+F16+F17+F18*$C$14</f>
        <v>0</v>
      </c>
      <c r="G14" s="261" cm="1">
        <f t="array" ref="G14">G15+G16+G17+G18*$C$14</f>
        <v>0</v>
      </c>
      <c r="H14" s="261" cm="1">
        <f t="array" ref="H14">H15+H16+H17+H18*$C$14</f>
        <v>0</v>
      </c>
    </row>
    <row r="15" ht="18" customHeight="1">
      <c r="A15" t="b" s="25">
        <v>0</v>
      </c>
      <c r="B15" t="s" s="262">
        <v>178</v>
      </c>
      <c r="C15" s="263"/>
      <c r="D15" s="264">
        <v>155</v>
      </c>
      <c r="E15" s="264">
        <v>665</v>
      </c>
      <c r="F15" s="264">
        <v>16</v>
      </c>
      <c r="G15" s="264">
        <v>25</v>
      </c>
      <c r="H15" s="264">
        <v>94</v>
      </c>
    </row>
    <row r="16" ht="18" customHeight="1">
      <c r="A16" t="b" s="25">
        <v>0</v>
      </c>
      <c r="B16" t="s" s="262">
        <v>179</v>
      </c>
      <c r="C16" s="263"/>
      <c r="D16" s="264">
        <v>42.5</v>
      </c>
      <c r="E16" s="264">
        <v>306</v>
      </c>
      <c r="F16" s="264">
        <v>3.3</v>
      </c>
      <c r="G16" s="264">
        <v>32.2</v>
      </c>
      <c r="H16" s="264">
        <v>0.75</v>
      </c>
    </row>
    <row r="17" ht="18" customHeight="1">
      <c r="A17" t="b" s="25">
        <v>0</v>
      </c>
      <c r="B17" t="s" s="262">
        <v>180</v>
      </c>
      <c r="C17" s="263"/>
      <c r="D17" s="264">
        <v>99.2</v>
      </c>
      <c r="E17" s="264">
        <v>350</v>
      </c>
      <c r="F17" s="264">
        <v>2.5</v>
      </c>
      <c r="G17" s="264">
        <v>1</v>
      </c>
      <c r="H17" s="264">
        <v>82.75</v>
      </c>
    </row>
    <row r="18" ht="18" customHeight="1">
      <c r="A18" t="b" s="25">
        <v>0</v>
      </c>
      <c r="B18" t="s" s="262">
        <v>181</v>
      </c>
      <c r="C18" s="263"/>
      <c r="D18" s="264">
        <v>56.7</v>
      </c>
      <c r="E18" s="264">
        <v>180</v>
      </c>
      <c r="F18" s="264">
        <v>22</v>
      </c>
      <c r="G18" s="264">
        <v>4</v>
      </c>
      <c r="H18" s="264">
        <v>14</v>
      </c>
    </row>
    <row r="19" ht="18" customHeight="1">
      <c r="A19" s="268"/>
      <c r="B19" s="269"/>
      <c r="C19" s="270"/>
      <c r="D19" s="270"/>
      <c r="E19" s="270"/>
      <c r="F19" s="270"/>
      <c r="G19" s="270"/>
      <c r="H19" s="270"/>
    </row>
    <row r="20" ht="18" customHeight="1">
      <c r="A20" t="b" s="25">
        <v>0</v>
      </c>
      <c r="B20" t="s" s="259">
        <v>182</v>
      </c>
      <c r="C20" s="271">
        <v>2</v>
      </c>
      <c r="D20" s="261" cm="1">
        <f t="array" ref="D20">D21+D22+D23*$C$20</f>
        <v>66</v>
      </c>
      <c r="E20" s="261" cm="1">
        <f t="array" ref="E20">E21+E22+E23*$C$20</f>
        <v>248</v>
      </c>
      <c r="F20" s="261" cm="1">
        <f t="array" ref="F20">F21+F22+F23*$C$20</f>
        <v>60</v>
      </c>
      <c r="G20" s="261" cm="1">
        <f t="array" ref="G20">G21+G22+G23*$C$20</f>
        <v>0</v>
      </c>
      <c r="H20" s="261" cm="1">
        <f t="array" ref="H20">H21+H22+H23*$C$20</f>
        <v>2</v>
      </c>
    </row>
    <row r="21" ht="18" customHeight="1">
      <c r="A21" t="b" s="25">
        <v>0</v>
      </c>
      <c r="B21" t="s" s="272">
        <v>183</v>
      </c>
      <c r="C21" s="263"/>
      <c r="D21" s="264">
        <v>33</v>
      </c>
      <c r="E21" s="264">
        <v>124</v>
      </c>
      <c r="F21" s="264">
        <v>30</v>
      </c>
      <c r="G21" s="264">
        <v>0</v>
      </c>
      <c r="H21" s="264">
        <v>1</v>
      </c>
    </row>
    <row r="22" ht="18" customHeight="1">
      <c r="A22" t="b" s="25">
        <v>0</v>
      </c>
      <c r="B22" s="273"/>
      <c r="C22" s="263"/>
      <c r="D22" s="263"/>
      <c r="E22" s="263"/>
      <c r="F22" s="263"/>
      <c r="G22" s="263"/>
      <c r="H22" s="263"/>
    </row>
    <row r="23" ht="18" customHeight="1">
      <c r="A23" t="b" s="25">
        <v>0</v>
      </c>
      <c r="B23" s="273"/>
      <c r="C23" s="263"/>
      <c r="D23" s="263"/>
      <c r="E23" s="263"/>
      <c r="F23" s="263"/>
      <c r="G23" s="263"/>
      <c r="H23" s="263"/>
    </row>
    <row r="24" ht="18" customHeight="1">
      <c r="A24" s="265"/>
      <c r="B24" s="266"/>
      <c r="C24" s="267"/>
      <c r="D24" s="267"/>
      <c r="E24" s="267"/>
      <c r="F24" s="267"/>
      <c r="G24" s="267"/>
      <c r="H24" s="267"/>
    </row>
    <row r="25" ht="18" customHeight="1">
      <c r="A25" t="b" s="25">
        <v>0</v>
      </c>
      <c r="B25" t="s" s="259">
        <v>184</v>
      </c>
      <c r="C25" s="271">
        <v>3</v>
      </c>
      <c r="D25" s="261" cm="1">
        <f t="array" ref="D25">D26+D27+D28+D29+D30+D31+D32+D33+D34*$C$25</f>
        <v>594</v>
      </c>
      <c r="E25" s="261" cm="1">
        <f t="array" ref="E25">E26+E27+E28+E29+E30+E31+E32+E33+E34*$C$25</f>
        <v>2541</v>
      </c>
      <c r="F25" s="261" cm="1">
        <f t="array" ref="F25">F26+F27+F28+F29+F30+F31+F32+F33+F34*$C$25</f>
        <v>137.55</v>
      </c>
      <c r="G25" s="261" cm="1">
        <f t="array" ref="G25">G26+G27+G28+G29+G30+G31+G32+G33+G34*$C$25</f>
        <v>91.2</v>
      </c>
      <c r="H25" s="261" cm="1">
        <f t="array" ref="H25">H26+H27+H28+H29+H30+H31+H32+H33+H34*$C$25</f>
        <v>292.5</v>
      </c>
    </row>
    <row r="26" ht="18" customHeight="1">
      <c r="A26" t="b" s="25">
        <v>0</v>
      </c>
      <c r="B26" t="s" s="262">
        <v>185</v>
      </c>
      <c r="C26" s="263"/>
      <c r="D26" s="264">
        <v>64.99999999999999</v>
      </c>
      <c r="E26" s="264">
        <v>244</v>
      </c>
      <c r="F26" s="264">
        <v>8.1</v>
      </c>
      <c r="G26" s="264">
        <v>0.4</v>
      </c>
      <c r="H26" s="264">
        <v>51.99999999999999</v>
      </c>
    </row>
    <row r="27" ht="18" customHeight="1">
      <c r="A27" t="b" s="25">
        <v>0</v>
      </c>
      <c r="B27" t="s" s="262">
        <v>186</v>
      </c>
      <c r="C27" s="263"/>
      <c r="D27" s="264">
        <v>34.99999999999999</v>
      </c>
      <c r="E27" s="264">
        <v>120</v>
      </c>
      <c r="F27" s="264">
        <v>18</v>
      </c>
      <c r="G27" s="264">
        <v>1</v>
      </c>
      <c r="H27" s="264">
        <v>9.75</v>
      </c>
    </row>
    <row r="28" ht="18" customHeight="1">
      <c r="A28" t="b" s="25">
        <v>0</v>
      </c>
      <c r="B28" t="s" s="262">
        <v>187</v>
      </c>
      <c r="C28" s="263"/>
      <c r="D28" s="264">
        <v>30</v>
      </c>
      <c r="E28" s="264">
        <v>120</v>
      </c>
      <c r="F28" s="264">
        <v>12</v>
      </c>
      <c r="G28" s="264">
        <v>3</v>
      </c>
      <c r="H28" s="264">
        <v>11.25</v>
      </c>
    </row>
    <row r="29" ht="18" customHeight="1">
      <c r="A29" t="b" s="25">
        <v>0</v>
      </c>
      <c r="B29" t="s" s="262">
        <v>172</v>
      </c>
      <c r="C29" s="263"/>
      <c r="D29" s="264">
        <v>20</v>
      </c>
      <c r="E29" s="264">
        <v>140</v>
      </c>
      <c r="F29" s="264">
        <v>1</v>
      </c>
      <c r="G29" s="264">
        <v>13.4</v>
      </c>
      <c r="H29" s="264">
        <v>3.85</v>
      </c>
    </row>
    <row r="30" ht="18" customHeight="1">
      <c r="A30" t="b" s="25">
        <v>0</v>
      </c>
      <c r="B30" t="s" s="262">
        <v>188</v>
      </c>
      <c r="C30" s="263"/>
      <c r="D30" s="264">
        <v>15</v>
      </c>
      <c r="E30" s="264">
        <v>90</v>
      </c>
      <c r="F30" s="264">
        <v>3.75</v>
      </c>
      <c r="G30" s="264">
        <v>7.5</v>
      </c>
      <c r="H30" s="264">
        <v>1.875</v>
      </c>
    </row>
    <row r="31" ht="18" customHeight="1">
      <c r="A31" t="b" s="25">
        <v>0</v>
      </c>
      <c r="B31" t="s" s="262">
        <v>189</v>
      </c>
      <c r="C31" s="263"/>
      <c r="D31" s="264">
        <v>5</v>
      </c>
      <c r="E31" s="264">
        <v>45</v>
      </c>
      <c r="F31" s="264">
        <v>0</v>
      </c>
      <c r="G31" s="264">
        <v>5</v>
      </c>
      <c r="H31" s="264">
        <v>0</v>
      </c>
    </row>
    <row r="32" ht="18" customHeight="1">
      <c r="A32" t="b" s="25">
        <v>0</v>
      </c>
      <c r="B32" t="s" s="262">
        <v>190</v>
      </c>
      <c r="C32" s="263"/>
      <c r="D32" s="264">
        <v>8</v>
      </c>
      <c r="E32" s="264">
        <v>20</v>
      </c>
      <c r="F32" s="264">
        <v>2</v>
      </c>
      <c r="G32" s="264">
        <v>0</v>
      </c>
      <c r="H32" s="264">
        <v>3</v>
      </c>
    </row>
    <row r="33" ht="18" customHeight="1">
      <c r="A33" t="b" s="25">
        <v>0</v>
      </c>
      <c r="B33" t="s" s="262">
        <v>191</v>
      </c>
      <c r="C33" s="263"/>
      <c r="D33" s="264">
        <v>10</v>
      </c>
      <c r="E33" s="264">
        <v>30</v>
      </c>
      <c r="F33" s="264">
        <v>1</v>
      </c>
      <c r="G33" s="264">
        <v>0.1</v>
      </c>
      <c r="H33" s="264">
        <v>6.275000000000001</v>
      </c>
    </row>
    <row r="34" ht="18" customHeight="1">
      <c r="A34" t="b" s="25">
        <v>0</v>
      </c>
      <c r="B34" t="s" s="262">
        <v>175</v>
      </c>
      <c r="C34" s="263"/>
      <c r="D34" s="264">
        <v>10</v>
      </c>
      <c r="E34" s="264">
        <v>38</v>
      </c>
      <c r="F34" s="264">
        <v>0</v>
      </c>
      <c r="G34" s="264">
        <v>0</v>
      </c>
      <c r="H34" s="264">
        <v>9.5</v>
      </c>
    </row>
    <row r="35" ht="18" customHeight="1">
      <c r="A35" s="265"/>
      <c r="B35" s="266"/>
      <c r="C35" s="267"/>
      <c r="D35" s="267"/>
      <c r="E35" s="267"/>
      <c r="F35" s="267"/>
      <c r="G35" s="267"/>
      <c r="H35" s="267"/>
    </row>
    <row r="36" ht="18" customHeight="1">
      <c r="A36" t="b" s="25">
        <v>0</v>
      </c>
      <c r="B36" t="s" s="259">
        <v>192</v>
      </c>
      <c r="C36" s="271">
        <v>3</v>
      </c>
      <c r="D36" s="261" cm="1">
        <f t="array" ref="D36">D37+D38+D39+D40+D41+D42+D43+D44*$C$36</f>
        <v>600</v>
      </c>
      <c r="E36" s="261" cm="1">
        <f t="array" ref="E36">E37+E38+E39+E40+E41+E42+E43+E44*$C$36</f>
        <v>2520</v>
      </c>
      <c r="F36" s="261" cm="1">
        <f t="array" ref="F36">F37+F38+F39+F40+F41+F42+F43+F44*$C$36</f>
        <v>127.5</v>
      </c>
      <c r="G36" s="261" cm="1">
        <f t="array" ref="G36">G37+G38+G39+G40+G41+G42+G43+G44*$C$36</f>
        <v>86.40000000000001</v>
      </c>
      <c r="H36" s="261" cm="1">
        <f t="array" ref="H36">H37+H38+H39+H40+H41+H42+H43+H44*$C$36</f>
        <v>308.1</v>
      </c>
    </row>
    <row r="37" ht="18" customHeight="1">
      <c r="A37" t="b" s="25">
        <v>0</v>
      </c>
      <c r="B37" t="s" s="262">
        <v>185</v>
      </c>
      <c r="C37" s="263"/>
      <c r="D37" s="264">
        <v>80</v>
      </c>
      <c r="E37" s="264">
        <v>300</v>
      </c>
      <c r="F37" s="264">
        <v>10</v>
      </c>
      <c r="G37" s="264">
        <v>0.5</v>
      </c>
      <c r="H37" s="264">
        <v>63.87499999999999</v>
      </c>
    </row>
    <row r="38" ht="18" customHeight="1">
      <c r="A38" t="b" s="25">
        <v>0</v>
      </c>
      <c r="B38" t="s" s="262">
        <v>186</v>
      </c>
      <c r="C38" s="263"/>
      <c r="D38" s="264">
        <v>34.99999999999999</v>
      </c>
      <c r="E38" s="264">
        <v>120</v>
      </c>
      <c r="F38" s="264">
        <v>18</v>
      </c>
      <c r="G38" s="264">
        <v>1</v>
      </c>
      <c r="H38" s="264">
        <v>9.75</v>
      </c>
    </row>
    <row r="39" ht="18" customHeight="1">
      <c r="A39" t="b" s="25">
        <v>0</v>
      </c>
      <c r="B39" t="s" s="262">
        <v>193</v>
      </c>
      <c r="C39" s="263"/>
      <c r="D39" s="264">
        <v>25</v>
      </c>
      <c r="E39" s="264">
        <v>100</v>
      </c>
      <c r="F39" s="264">
        <v>5</v>
      </c>
      <c r="G39" s="264">
        <v>2</v>
      </c>
      <c r="H39" s="264">
        <v>15.5</v>
      </c>
    </row>
    <row r="40" ht="18" customHeight="1">
      <c r="A40" t="b" s="25">
        <v>0</v>
      </c>
      <c r="B40" t="s" s="262">
        <v>194</v>
      </c>
      <c r="C40" s="263"/>
      <c r="D40" s="264">
        <v>20</v>
      </c>
      <c r="E40" s="264">
        <v>135</v>
      </c>
      <c r="F40" s="264">
        <v>2.700000000000001</v>
      </c>
      <c r="G40" s="264">
        <v>13.7</v>
      </c>
      <c r="H40" s="264">
        <v>0.225</v>
      </c>
    </row>
    <row r="41" ht="18" customHeight="1">
      <c r="A41" t="b" s="25">
        <v>0</v>
      </c>
      <c r="B41" t="s" s="262">
        <v>189</v>
      </c>
      <c r="C41" s="263"/>
      <c r="D41" s="264">
        <v>10</v>
      </c>
      <c r="E41" s="264">
        <v>90</v>
      </c>
      <c r="F41" s="264">
        <v>0</v>
      </c>
      <c r="G41" s="264">
        <v>10</v>
      </c>
      <c r="H41" s="264">
        <v>0</v>
      </c>
    </row>
    <row r="42" ht="18" customHeight="1">
      <c r="A42" t="b" s="25">
        <v>0</v>
      </c>
      <c r="B42" t="s" s="262">
        <v>195</v>
      </c>
      <c r="C42" s="263"/>
      <c r="D42" s="264">
        <v>10</v>
      </c>
      <c r="E42" s="264">
        <v>40</v>
      </c>
      <c r="F42" s="264">
        <v>5</v>
      </c>
      <c r="G42" s="264">
        <v>1</v>
      </c>
      <c r="H42" s="264">
        <v>2.75</v>
      </c>
    </row>
    <row r="43" ht="18" customHeight="1">
      <c r="A43" t="b" s="25">
        <v>0</v>
      </c>
      <c r="B43" t="s" s="262">
        <v>196</v>
      </c>
      <c r="C43" s="263"/>
      <c r="D43" s="264">
        <v>15</v>
      </c>
      <c r="E43" s="264">
        <v>45</v>
      </c>
      <c r="F43" s="264">
        <v>1.5</v>
      </c>
      <c r="G43" s="264">
        <v>0.5</v>
      </c>
      <c r="H43" s="264">
        <v>8.625</v>
      </c>
    </row>
    <row r="44" ht="18" customHeight="1">
      <c r="A44" t="b" s="25">
        <v>0</v>
      </c>
      <c r="B44" t="s" s="262">
        <v>197</v>
      </c>
      <c r="C44" s="263"/>
      <c r="D44" s="264">
        <v>5</v>
      </c>
      <c r="E44" s="264">
        <v>10</v>
      </c>
      <c r="F44" s="264">
        <v>0.2999999999999999</v>
      </c>
      <c r="G44" s="264">
        <v>0.1</v>
      </c>
      <c r="H44" s="264">
        <v>1.975</v>
      </c>
    </row>
    <row r="45" ht="18" customHeight="1">
      <c r="A45" s="265"/>
      <c r="B45" s="266"/>
      <c r="C45" s="267"/>
      <c r="D45" s="267"/>
      <c r="E45" s="267"/>
      <c r="F45" s="267"/>
      <c r="G45" s="267"/>
      <c r="H45" s="267"/>
    </row>
    <row r="46" ht="18" customHeight="1">
      <c r="A46" t="b" s="25">
        <v>0</v>
      </c>
      <c r="B46" t="s" s="259">
        <v>198</v>
      </c>
      <c r="C46" s="271">
        <v>3</v>
      </c>
      <c r="D46" s="261" cm="1">
        <f t="array" ref="D46">D47+D48+D49+D50+D51+D52+D53+D54+D55*$C$46</f>
        <v>630</v>
      </c>
      <c r="E46" s="261" cm="1">
        <f t="array" ref="E46">E47+E48+E49+E50+E51+E52+E53+E54+E55*$C$46</f>
        <v>2499</v>
      </c>
      <c r="F46" s="261" cm="1">
        <f t="array" ref="F46">F47+F48+F49+F50+F51+F52+F53+F54+F55*$C$46</f>
        <v>126.15</v>
      </c>
      <c r="G46" s="261" cm="1">
        <f t="array" ref="G46">G47+G48+G49+G50+G51+G52+G53+G54+G55*$C$46</f>
        <v>79.2</v>
      </c>
      <c r="H46" s="261" cm="1">
        <f t="array" ref="H46">H47+H48+H49+H50+H51+H52+H53+H54+H55*$C$46</f>
        <v>320.4</v>
      </c>
    </row>
    <row r="47" ht="18" customHeight="1">
      <c r="A47" t="b" s="25">
        <v>0</v>
      </c>
      <c r="B47" t="s" s="262">
        <v>185</v>
      </c>
      <c r="C47" s="263"/>
      <c r="D47" s="264">
        <v>50</v>
      </c>
      <c r="E47" s="264">
        <v>188</v>
      </c>
      <c r="F47" s="264">
        <v>6.25</v>
      </c>
      <c r="G47" s="264">
        <v>0.2999999999999999</v>
      </c>
      <c r="H47" s="264">
        <v>40.075</v>
      </c>
    </row>
    <row r="48" ht="18" customHeight="1">
      <c r="A48" t="b" s="25">
        <v>0</v>
      </c>
      <c r="B48" t="s" s="262">
        <v>186</v>
      </c>
      <c r="C48" s="263"/>
      <c r="D48" s="264">
        <v>34.99999999999999</v>
      </c>
      <c r="E48" s="264">
        <v>120</v>
      </c>
      <c r="F48" s="264">
        <v>18</v>
      </c>
      <c r="G48" s="264">
        <v>1</v>
      </c>
      <c r="H48" s="264">
        <v>9.75</v>
      </c>
    </row>
    <row r="49" ht="18" customHeight="1">
      <c r="A49" t="b" s="25">
        <v>0</v>
      </c>
      <c r="B49" t="s" s="262">
        <v>199</v>
      </c>
      <c r="C49" s="263"/>
      <c r="D49" s="264">
        <v>45</v>
      </c>
      <c r="E49" s="264">
        <v>160</v>
      </c>
      <c r="F49" s="264">
        <v>9</v>
      </c>
      <c r="G49" s="264">
        <v>2</v>
      </c>
      <c r="H49" s="264">
        <v>26.5</v>
      </c>
    </row>
    <row r="50" ht="18" customHeight="1">
      <c r="A50" t="b" s="25">
        <v>0</v>
      </c>
      <c r="B50" t="s" s="262">
        <v>200</v>
      </c>
      <c r="C50" s="263"/>
      <c r="D50" s="264">
        <v>20</v>
      </c>
      <c r="E50" s="264">
        <v>100</v>
      </c>
      <c r="F50" s="264">
        <v>1.6</v>
      </c>
      <c r="G50" s="264">
        <v>4.8</v>
      </c>
      <c r="H50" s="264">
        <v>12.6</v>
      </c>
    </row>
    <row r="51" ht="18" customHeight="1">
      <c r="A51" t="b" s="25">
        <v>0</v>
      </c>
      <c r="B51" t="s" s="262">
        <v>201</v>
      </c>
      <c r="C51" s="263"/>
      <c r="D51" s="264">
        <v>20</v>
      </c>
      <c r="E51" s="264">
        <v>100</v>
      </c>
      <c r="F51" s="264">
        <v>2</v>
      </c>
      <c r="G51" s="264">
        <v>8</v>
      </c>
      <c r="H51" s="264">
        <v>5</v>
      </c>
    </row>
    <row r="52" ht="18" customHeight="1">
      <c r="A52" t="b" s="25">
        <v>0</v>
      </c>
      <c r="B52" t="s" s="262">
        <v>202</v>
      </c>
      <c r="C52" s="263"/>
      <c r="D52" s="264">
        <v>15</v>
      </c>
      <c r="E52" s="264">
        <v>69.99999999999999</v>
      </c>
      <c r="F52" s="264">
        <v>4</v>
      </c>
      <c r="G52" s="264">
        <v>5</v>
      </c>
      <c r="H52" s="264">
        <v>2.25</v>
      </c>
    </row>
    <row r="53" ht="18" customHeight="1">
      <c r="A53" t="b" s="25">
        <v>0</v>
      </c>
      <c r="B53" t="s" s="262">
        <v>189</v>
      </c>
      <c r="C53" s="263"/>
      <c r="D53" s="264">
        <v>5</v>
      </c>
      <c r="E53" s="264">
        <v>45</v>
      </c>
      <c r="F53" s="264">
        <v>0</v>
      </c>
      <c r="G53" s="264">
        <v>5</v>
      </c>
      <c r="H53" s="264">
        <v>0</v>
      </c>
    </row>
    <row r="54" ht="18" customHeight="1">
      <c r="A54" t="b" s="25">
        <v>0</v>
      </c>
      <c r="B54" t="s" s="262">
        <v>203</v>
      </c>
      <c r="C54" s="263"/>
      <c r="D54" s="264">
        <v>15</v>
      </c>
      <c r="E54" s="264">
        <v>40</v>
      </c>
      <c r="F54" s="264">
        <v>1</v>
      </c>
      <c r="G54" s="264">
        <v>0.2999999999999999</v>
      </c>
      <c r="H54" s="264">
        <v>8.324999999999999</v>
      </c>
    </row>
    <row r="55" ht="18" customHeight="1">
      <c r="A55" t="b" s="25">
        <v>0</v>
      </c>
      <c r="B55" t="s" s="262">
        <v>204</v>
      </c>
      <c r="C55" s="263"/>
      <c r="D55" s="264">
        <v>5</v>
      </c>
      <c r="E55" s="264">
        <v>10</v>
      </c>
      <c r="F55" s="264">
        <v>0.2</v>
      </c>
      <c r="G55" s="264">
        <v>0</v>
      </c>
      <c r="H55" s="264">
        <v>2.3</v>
      </c>
    </row>
    <row r="56" ht="18" customHeight="1">
      <c r="A56" s="265"/>
      <c r="B56" s="266"/>
      <c r="C56" s="267"/>
      <c r="D56" s="267"/>
      <c r="E56" s="267"/>
      <c r="F56" s="267"/>
      <c r="G56" s="267"/>
      <c r="H56" s="267"/>
    </row>
    <row r="57" ht="18" customHeight="1">
      <c r="A57" t="b" s="25">
        <v>0</v>
      </c>
      <c r="B57" t="s" s="274">
        <v>205</v>
      </c>
      <c r="C57" s="271">
        <v>3</v>
      </c>
      <c r="D57" s="261" cm="1">
        <f t="array" ref="D57">D58+D59+D60+D61+D62+D63+D64+D65+D66+D67*$C$57</f>
        <v>630</v>
      </c>
      <c r="E57" s="261" cm="1">
        <f t="array" ref="E57">E58+E59+E60+E61+E62+E63+E64+E65+E66+E67*$C$57</f>
        <v>2676</v>
      </c>
      <c r="F57" s="261" cm="1">
        <f t="array" ref="F57">F58+F59+F60+F61+F62+F63+F64+F65+F66+F67*$C$57</f>
        <v>134.7</v>
      </c>
      <c r="G57" s="261" cm="1">
        <f t="array" ref="G57">G58+G59+G60+G61+G62+G63+G64+G65+G66+G67*$C$57</f>
        <v>97.89</v>
      </c>
      <c r="H57" s="261" cm="1">
        <f t="array" ref="H57">H58+H59+H60+H61+H62+H63+H64+H65+H66+H67*$C$57</f>
        <v>314.0475</v>
      </c>
    </row>
    <row r="58" ht="18" customHeight="1">
      <c r="A58" t="b" s="25">
        <v>0</v>
      </c>
      <c r="B58" t="s" s="262">
        <v>185</v>
      </c>
      <c r="C58" s="263"/>
      <c r="D58" s="264">
        <v>54.99999999999999</v>
      </c>
      <c r="E58" s="264">
        <v>206</v>
      </c>
      <c r="F58" s="264">
        <v>6.900000000000001</v>
      </c>
      <c r="G58" s="264">
        <v>0.33</v>
      </c>
      <c r="H58" s="264">
        <v>43.8575</v>
      </c>
    </row>
    <row r="59" ht="18" customHeight="1">
      <c r="A59" t="b" s="25">
        <v>0</v>
      </c>
      <c r="B59" t="s" s="262">
        <v>186</v>
      </c>
      <c r="C59" s="263"/>
      <c r="D59" s="264">
        <v>34.99999999999999</v>
      </c>
      <c r="E59" s="264">
        <v>120</v>
      </c>
      <c r="F59" s="264">
        <v>18</v>
      </c>
      <c r="G59" s="264">
        <v>1</v>
      </c>
      <c r="H59" s="264">
        <v>9.75</v>
      </c>
    </row>
    <row r="60" ht="18" customHeight="1">
      <c r="A60" t="b" s="25">
        <v>0</v>
      </c>
      <c r="B60" t="s" s="262">
        <v>187</v>
      </c>
      <c r="C60" s="263"/>
      <c r="D60" s="264">
        <v>25</v>
      </c>
      <c r="E60" s="264">
        <v>100</v>
      </c>
      <c r="F60" s="264">
        <v>10</v>
      </c>
      <c r="G60" s="264">
        <v>2.5</v>
      </c>
      <c r="H60" s="264">
        <v>9.375</v>
      </c>
    </row>
    <row r="61" ht="18" customHeight="1">
      <c r="A61" t="b" s="25">
        <v>0</v>
      </c>
      <c r="B61" t="s" s="262">
        <v>172</v>
      </c>
      <c r="C61" s="263"/>
      <c r="D61" s="264">
        <v>20</v>
      </c>
      <c r="E61" s="264">
        <v>140</v>
      </c>
      <c r="F61" s="264">
        <v>1</v>
      </c>
      <c r="G61" s="264">
        <v>13.4</v>
      </c>
      <c r="H61" s="264">
        <v>3.85</v>
      </c>
    </row>
    <row r="62" ht="18" customHeight="1">
      <c r="A62" t="b" s="25">
        <v>0</v>
      </c>
      <c r="B62" t="s" s="262">
        <v>188</v>
      </c>
      <c r="C62" s="263"/>
      <c r="D62" s="264">
        <v>20</v>
      </c>
      <c r="E62" s="264">
        <v>120</v>
      </c>
      <c r="F62" s="264">
        <v>5</v>
      </c>
      <c r="G62" s="264">
        <v>10</v>
      </c>
      <c r="H62" s="264">
        <v>2.5</v>
      </c>
    </row>
    <row r="63" ht="18" customHeight="1">
      <c r="A63" t="b" s="25">
        <v>0</v>
      </c>
      <c r="B63" t="s" s="262">
        <v>206</v>
      </c>
      <c r="C63" s="263"/>
      <c r="D63" s="264">
        <v>20</v>
      </c>
      <c r="E63" s="264">
        <v>69.99999999999999</v>
      </c>
      <c r="F63" s="264">
        <v>0.5</v>
      </c>
      <c r="G63" s="264">
        <v>0.2</v>
      </c>
      <c r="H63" s="264">
        <v>16.55</v>
      </c>
    </row>
    <row r="64" ht="18" customHeight="1">
      <c r="A64" t="b" s="25">
        <v>0</v>
      </c>
      <c r="B64" t="s" s="262">
        <v>189</v>
      </c>
      <c r="C64" s="263"/>
      <c r="D64" s="264">
        <v>5</v>
      </c>
      <c r="E64" s="264">
        <v>45</v>
      </c>
      <c r="F64" s="264">
        <v>0</v>
      </c>
      <c r="G64" s="264">
        <v>5</v>
      </c>
      <c r="H64" s="264">
        <v>0</v>
      </c>
    </row>
    <row r="65" ht="18" customHeight="1">
      <c r="A65" t="b" s="25">
        <v>0</v>
      </c>
      <c r="B65" t="s" s="262">
        <v>207</v>
      </c>
      <c r="C65" s="263"/>
      <c r="D65" s="264">
        <v>15</v>
      </c>
      <c r="E65" s="264">
        <v>45</v>
      </c>
      <c r="F65" s="264">
        <v>1.5</v>
      </c>
      <c r="G65" s="264">
        <v>0.2</v>
      </c>
      <c r="H65" s="264">
        <v>9.300000000000002</v>
      </c>
    </row>
    <row r="66" ht="18" customHeight="1">
      <c r="A66" t="b" s="25">
        <v>0</v>
      </c>
      <c r="B66" t="s" s="262">
        <v>190</v>
      </c>
      <c r="C66" s="263"/>
      <c r="D66" s="264">
        <v>8</v>
      </c>
      <c r="E66" s="264">
        <v>20</v>
      </c>
      <c r="F66" s="264">
        <v>2</v>
      </c>
      <c r="G66" s="264">
        <v>0</v>
      </c>
      <c r="H66" s="264">
        <v>3</v>
      </c>
    </row>
    <row r="67" ht="18" customHeight="1">
      <c r="A67" t="b" s="25">
        <v>0</v>
      </c>
      <c r="B67" t="s" s="262">
        <v>175</v>
      </c>
      <c r="C67" s="263"/>
      <c r="D67" s="264">
        <v>7</v>
      </c>
      <c r="E67" s="264">
        <v>26</v>
      </c>
      <c r="F67" s="264">
        <v>0</v>
      </c>
      <c r="G67" s="264">
        <v>0</v>
      </c>
      <c r="H67" s="264">
        <v>6.5</v>
      </c>
    </row>
    <row r="68" ht="18" customHeight="1">
      <c r="A68" s="275"/>
      <c r="B68" s="275"/>
      <c r="C68" s="276"/>
      <c r="D68" s="276"/>
      <c r="E68" s="276"/>
      <c r="F68" s="276"/>
      <c r="G68" s="276"/>
      <c r="H68" s="276"/>
    </row>
    <row r="69" ht="18" customHeight="1">
      <c r="A69" s="275"/>
      <c r="B69" t="s" s="277">
        <v>208</v>
      </c>
      <c r="C69" s="263"/>
      <c r="D69" s="278" cm="1">
        <f t="array" ref="D69">D4+D14+D20+D25+D36+D46+D57</f>
        <v>2520</v>
      </c>
      <c r="E69" s="278" cm="1">
        <f t="array" ref="E69">E4+E14+E20+E25+E36+E46+E57</f>
        <v>10484</v>
      </c>
      <c r="F69" s="278" cm="1">
        <f t="array" ref="F69">F4+F14+F20+F25+F36+F46+F57</f>
        <v>585.9</v>
      </c>
      <c r="G69" s="278" cm="1">
        <f t="array" ref="G69">G4+G14+G20+G25+G36+G46+G57</f>
        <v>354.69</v>
      </c>
      <c r="H69" s="278" cm="1">
        <f t="array" ref="H69">H4+H14+H20+H25+H36+H46+H57</f>
        <v>1237.0475</v>
      </c>
    </row>
    <row r="70" ht="18" customHeight="1">
      <c r="A70" s="275"/>
      <c r="B70" t="s" s="277">
        <v>209</v>
      </c>
      <c r="C70" s="263"/>
      <c r="D70" s="278" cm="1">
        <f t="array" ref="D70">D69/$C$3</f>
        <v>2520</v>
      </c>
      <c r="E70" s="279" cm="1">
        <f t="array" ref="E70">E69/$C$3</f>
        <v>10484</v>
      </c>
      <c r="F70" s="279" cm="1">
        <f t="array" ref="F70">F69/$C$3</f>
        <v>585.9</v>
      </c>
      <c r="G70" s="279" cm="1">
        <f t="array" ref="G70">G69/$C$3</f>
        <v>354.69</v>
      </c>
      <c r="H70" s="279" cm="1">
        <f t="array" ref="H70">H69/$C$3</f>
        <v>1237.0475</v>
      </c>
    </row>
    <row r="71" ht="18" customHeight="1">
      <c r="A71" s="275"/>
      <c r="B71" t="s" s="277">
        <v>210</v>
      </c>
      <c r="C71" s="263"/>
      <c r="D71" s="279" cm="1">
        <f t="array" ref="D71">D69/453.59237</f>
        <v>5.55564900705892</v>
      </c>
      <c r="E71" s="263"/>
      <c r="F71" s="263"/>
      <c r="G71" s="263"/>
      <c r="H71" s="263"/>
    </row>
  </sheetData>
  <mergeCells count="1">
    <mergeCell ref="A1:H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